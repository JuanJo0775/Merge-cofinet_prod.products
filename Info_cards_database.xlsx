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D:\Downloads\"/>
    </mc:Choice>
  </mc:AlternateContent>
  <xr:revisionPtr revIDLastSave="42" documentId="13_ncr:1_{5E2A61EC-3C9A-4A80-9C18-EE29AE322EB3}" xr6:coauthVersionLast="47" xr6:coauthVersionMax="47" xr10:uidLastSave="{72C1B438-6B25-4387-A973-8C5E2F260892}"/>
  <bookViews>
    <workbookView xWindow="-108" yWindow="-108" windowWidth="23256" windowHeight="12456" firstSheet="2" activeTab="2" xr2:uid="{00000000-000D-0000-FFFF-FFFF00000000}"/>
  </bookViews>
  <sheets>
    <sheet name="Varietal" sheetId="1" r:id="rId1"/>
    <sheet name="Process" sheetId="2" r:id="rId2"/>
    <sheet name="Farmer"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PXuyKThe0mA/Z9FvPBgdXqGJWImUSSWDwwgqtPOOwws="/>
    </ext>
  </extLst>
</workbook>
</file>

<file path=xl/calcChain.xml><?xml version="1.0" encoding="utf-8"?>
<calcChain xmlns="http://schemas.openxmlformats.org/spreadsheetml/2006/main">
  <c r="I223" i="3" l="1"/>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1" i="3"/>
  <c r="I60" i="3"/>
  <c r="I59" i="3"/>
  <c r="I58" i="3"/>
  <c r="I57" i="3"/>
  <c r="I56" i="3"/>
  <c r="I55" i="3"/>
  <c r="I54" i="3"/>
  <c r="I53" i="3"/>
  <c r="I52" i="3"/>
  <c r="I51" i="3"/>
  <c r="I50" i="3"/>
  <c r="I49" i="3"/>
  <c r="I48" i="3"/>
  <c r="I47" i="3"/>
  <c r="I46" i="3"/>
  <c r="I45" i="3"/>
  <c r="I44" i="3"/>
  <c r="I43" i="3"/>
  <c r="I42" i="3"/>
  <c r="I41"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C124" i="2"/>
  <c r="C123" i="2"/>
  <c r="C120" i="2"/>
  <c r="C119" i="2"/>
  <c r="C118" i="2"/>
  <c r="C117" i="2"/>
  <c r="C116" i="2"/>
  <c r="C115" i="2"/>
  <c r="C111" i="2"/>
  <c r="C110" i="2"/>
  <c r="C109" i="2"/>
  <c r="C108" i="2"/>
  <c r="C107" i="2"/>
  <c r="C106" i="2"/>
  <c r="C105" i="2"/>
  <c r="C104" i="2"/>
  <c r="C103" i="2"/>
  <c r="C102" i="2"/>
  <c r="C101" i="2"/>
  <c r="C99" i="2"/>
  <c r="C98" i="2"/>
  <c r="C97" i="2"/>
  <c r="C96" i="2"/>
  <c r="C95" i="2"/>
  <c r="C92" i="2"/>
  <c r="C89" i="2"/>
  <c r="C88" i="2"/>
  <c r="C87" i="2"/>
  <c r="C86" i="2"/>
  <c r="C85" i="2"/>
  <c r="C84" i="2"/>
  <c r="C83" i="2"/>
  <c r="C82" i="2"/>
  <c r="C81" i="2"/>
  <c r="C80" i="2"/>
  <c r="C79" i="2"/>
  <c r="C78" i="2"/>
  <c r="C77" i="2"/>
  <c r="C76" i="2"/>
  <c r="C75" i="2"/>
  <c r="C74" i="2"/>
  <c r="C73" i="2"/>
  <c r="C72" i="2"/>
  <c r="C71" i="2"/>
  <c r="C69" i="2"/>
  <c r="C68" i="2"/>
  <c r="C66" i="2"/>
  <c r="C65" i="2"/>
  <c r="C64" i="2"/>
  <c r="C63" i="2"/>
  <c r="C61" i="2"/>
  <c r="C60" i="2"/>
  <c r="C59" i="2"/>
  <c r="C58" i="2"/>
  <c r="C57" i="2"/>
  <c r="C56" i="2"/>
  <c r="C55" i="2"/>
  <c r="C54" i="2"/>
  <c r="C53" i="2"/>
  <c r="C52" i="2"/>
  <c r="C51" i="2"/>
  <c r="C50" i="2"/>
  <c r="C49" i="2"/>
  <c r="C48" i="2"/>
  <c r="C47" i="2"/>
  <c r="C46" i="2"/>
  <c r="C45" i="2"/>
  <c r="C44" i="2"/>
  <c r="C43" i="2"/>
  <c r="C42" i="2"/>
  <c r="C41" i="2"/>
  <c r="C40" i="2"/>
  <c r="C39" i="2"/>
  <c r="C36" i="2"/>
  <c r="C34" i="2"/>
  <c r="C33" i="2"/>
  <c r="C32" i="2"/>
  <c r="C31" i="2"/>
  <c r="C30" i="2"/>
  <c r="C25" i="2"/>
  <c r="C24" i="2"/>
  <c r="C23" i="2"/>
  <c r="C22" i="2"/>
  <c r="C21" i="2"/>
  <c r="C20" i="2"/>
  <c r="C18" i="2"/>
  <c r="C17" i="2"/>
  <c r="C16" i="2"/>
  <c r="C15" i="2"/>
  <c r="C14" i="2"/>
  <c r="C13" i="2"/>
  <c r="C12" i="2"/>
  <c r="C11" i="2"/>
  <c r="C10" i="2"/>
  <c r="C9" i="2"/>
  <c r="C8" i="2"/>
  <c r="C7" i="2"/>
  <c r="C6" i="2"/>
  <c r="C5" i="2"/>
  <c r="C4" i="2"/>
  <c r="C3" i="2"/>
  <c r="C2" i="2"/>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<sst xmlns="http://schemas.openxmlformats.org/spreadsheetml/2006/main" count="2257" uniqueCount="1021">
  <si>
    <t>Varietal</t>
  </si>
  <si>
    <t>Text</t>
  </si>
  <si>
    <t>Category</t>
  </si>
  <si>
    <t>text lenght max(300)</t>
  </si>
  <si>
    <t>Tane</t>
  </si>
  <si>
    <t>Red Bourbon</t>
  </si>
  <si>
    <t>This microlot is 100% Bourbon. This varietal is a natural
mutation of the Coffee Arabigo. The name Bourbon was given after
an island now called Reunion, off the coast of Madagascar.</t>
  </si>
  <si>
    <t>Exotic</t>
  </si>
  <si>
    <t>Finalised</t>
  </si>
  <si>
    <t>Bourbon Aruzi</t>
  </si>
  <si>
    <t>This variety was discovered in Inza, Cauca when a coffee tree was found to look very different from the typical coffee grown in the region. This unknown variety had a higher yield and was more resistant. As a result, some farmers began to grow this variety. Subsequently, the seeds were studied by a laboratory in London which found that the genetics and structure were similar to Bourbon Aruzi, a variety grown in Ethiopia</t>
  </si>
  <si>
    <t>Bourbon Primitivo</t>
  </si>
  <si>
    <t xml:space="preserve">This varietal was planted by Luis Anibal Calderon in 2017. He came across a Bourbon tree with a distinct appearance and made the decision to take the seeds and plant additional trees of this variety. As he had discovered this unique coffee, he chose to give it a new name that would set it apart from the regular Bourbon variety. Thus, he named it Bourbon Primitivo. </t>
  </si>
  <si>
    <t>Castillo</t>
  </si>
  <si>
    <t>This microlot is 100% Castillo. This variety was developed by Federación Nacional de Cafeteros. It is more productive than Caturra and resistant to coffee leaf rust.</t>
  </si>
  <si>
    <t>Microlot</t>
  </si>
  <si>
    <t>Catimor</t>
  </si>
  <si>
    <t>This microlot is 100% Catimor (Costa Rica 95). This varietal is leaf
rust resistant and was developed by “The Costa Rica Coffee
Institute”. Costa 95 is a cross between Timor Hybrid and Caturra.</t>
  </si>
  <si>
    <t>Catuai</t>
  </si>
  <si>
    <t xml:space="preserve">A cross between  Mundo Novo and compact Caturra, made by the Instituto Agronomico (IAC) of Sao Paulo State in Campinas, Brazil. </t>
  </si>
  <si>
    <t>Caturra</t>
  </si>
  <si>
    <t>This microlot is 100% Caturra. This variety originated in Minas Gerais, Brazil. It is a natural mutation of Red Bourbon. Caturra produces more coffee and is more resistant to plant diseases than Bourbon.</t>
  </si>
  <si>
    <t>Caturron</t>
  </si>
  <si>
    <t>This microlot is 100% Caturron. This varietal is a rare mutation of Caturra found for the first time in Acevedo, Huila. Growers started planting Caturron due to its resistance to leaf rust and high yield. But it wasn't until 2016 when Cofinet, with the help of some growers from the region, identified the exotic cup profile of this varietal.</t>
  </si>
  <si>
    <t>Cenicafe 1</t>
  </si>
  <si>
    <t>Cenicafé 1 is a new variety of coffee tree developed by the Colombian Coffee Research Center (Cenicafé). It is a hybrid of the Caturra and Castillo varieties. It is disease-resistant and has a good yield. It has a balanced flavor of sweetness and acidity, with chocolate and citrus notes.</t>
  </si>
  <si>
    <t>Chilli Bourbon</t>
  </si>
  <si>
    <t>This microlot is 100% Chilli Bourbon. This varietal is rare mutation that
took place in Acevedo, Huila. The name of this variety came after the pickers who tried it first discovered the cherry had a taste with a hint of spicy similar to chili.</t>
  </si>
  <si>
    <t>Chiroso Bourbon</t>
  </si>
  <si>
    <t>This microlot is 100% Chiroso. This varietal is a natural mutation that took place in Urrao, Antioquia. For the last 5 years, this varietal has become extremely popular in Colombia for its
complexity, florals, and citrus notes.</t>
  </si>
  <si>
    <t>Costa Rica</t>
  </si>
  <si>
    <t>This microlot is 100% Costa Rica 95.</t>
  </si>
  <si>
    <t>Gesha</t>
  </si>
  <si>
    <t>This microlot is 100% Gesha. This varietal was first discovered in Abyssinia, Ethiopia in 1931. Gesha was planted in Panama for the first time in 1963 and in Colombia in 2005.</t>
  </si>
  <si>
    <t>Red Gesha</t>
  </si>
  <si>
    <t>Gesha King</t>
  </si>
  <si>
    <t>This particular varietal was planted by Luis Anibal Calderon in 2017. Within his crop of Gesha coffee, he stumbled upon a Gesha tree that produced coffee cherries noticeably larger in size compared to the typical ones found in Gesha trees. To distinguish this newly discovered variation from the traditional Gesha, Luis Anibal named it "Gesha King."</t>
  </si>
  <si>
    <t>Java</t>
  </si>
  <si>
    <t>This micro-lot is 100% Java. This variety originated in Ethiopia and is a natural mutation of Typica. The seeds were taken to Indonesia where it was named Java. In 1991, it was introduced to Costa Rica and in 2010, it made its way into Colombia.</t>
  </si>
  <si>
    <t>Maracatura</t>
  </si>
  <si>
    <t>This microlot is 100% Maracaturra. This variety is a cross
between Maragogype and Caturra. This variety is common in
Nicaragua but very hard to find in Colombia.</t>
  </si>
  <si>
    <t>Maragesha</t>
  </si>
  <si>
    <t>This microlot is 100% Maragesha. This varietal is a natural cross between
the Gesha and Maragogype varietals that took place at Luis Anibal’s
farm, Finca Villa Betulia, in 2017.</t>
  </si>
  <si>
    <t>Maragogype</t>
  </si>
  <si>
    <r>
      <rPr>
        <sz val="11"/>
        <color rgb="FF000000"/>
        <rFont val="Calibri"/>
        <family val="2"/>
      </rPr>
      <t>This microlot is 100% Maragogype</t>
    </r>
    <r>
      <rPr>
        <sz val="11"/>
        <color rgb="FF000000"/>
        <rFont val="Calibri"/>
        <family val="2"/>
      </rPr>
      <t>.</t>
    </r>
  </si>
  <si>
    <t>Mokka</t>
  </si>
  <si>
    <t>This microlot is 100% Mokka. This variety
originated in Yemen. It is named after the city
Mocca in Yemen located right next to the red
sea. This variety is known for producing beans
much smaller than usual and its distinctive
taste (very aromatic and full bodied).</t>
  </si>
  <si>
    <t>Ethiopian Heirloom</t>
  </si>
  <si>
    <t xml:space="preserve">This variety is native to Ethiopia and many years ago seeds arrived in Huila. Luis was the lucky one who was able to cultivate and understand the behavior of this plant. The results after many years of monitoring and experimenting are interesting. The cherry is elongated and has a belly button shape on the base of the fruit.
</t>
  </si>
  <si>
    <t>Yellow Pacamara</t>
  </si>
  <si>
    <t xml:space="preserve">The Yellow Pacamara is a natural mutation of the Red Pacamara (a cross between a Maragogype and Pacas). It was discovered by the Mierisch Family in Nicaragua. Yellow Pacamara cherries are similar to the more common Pacamara variety. 
</t>
  </si>
  <si>
    <t>Pacamara</t>
  </si>
  <si>
    <t xml:space="preserve">This microlot is 100% Pacamara. It is a variety created in El Salvador. It is a cross between Pacas and Maragogipe. This variety is low yield, however, has an exceptional cup profile. </t>
  </si>
  <si>
    <t>Papayo</t>
  </si>
  <si>
    <t>This microlot is 100% Papayo. This varietal is a rare mutation that took place in Acevedo, Huila. Ripe cherries turn orange in colour and the shape is similar to a papaya. The cup profile is complex with defined jasmine, sugar cane, and sweet chocolate notes.</t>
  </si>
  <si>
    <t>Pink Gesha</t>
  </si>
  <si>
    <t>This variety of Gesha originated from a mutation that occurred on a farm in Huila, where over time, some of the fruits began to ripen to a pinkish hue. Despite their different color, the cup profile was the same as the traditional red Gesha. We decided to selectively harvest the pink cherries and use their seeds to cultivate this Pink Gesha in Jardines del Eden. The resulting cup profile is just as exceptional as that of the red Gesha.</t>
  </si>
  <si>
    <t>Pink Bourbon</t>
  </si>
  <si>
    <t>This micro-lot is 100% Pink Bourbon. This varietal is currently under research in order to determine its origin. It is said that it is a mutation that took place at 2100 m.a.s.l in San Adolfo, Huila.</t>
  </si>
  <si>
    <t>Purple Bourbon</t>
  </si>
  <si>
    <t>This microlot is 100% Purple Bourbon. This variety is a mutation of Bourbon although the cherries ripen to be purple and the cup profile is more floral than Bourbon.</t>
  </si>
  <si>
    <t>Red Caturra</t>
  </si>
  <si>
    <t>This variety originated in Minas Gerais, Brazil. It is a natural mutation of Red Bourbon. Caturra produces more coffee and is more resistant to plant diseases than Bourbon.</t>
  </si>
  <si>
    <t>San Bernardo</t>
  </si>
  <si>
    <t>San Bernardo varietal is a natural mutation of Typica originated in Guatemala. It is a very rare varietal to come across in Colombia. Trees are even smaller than Caturra or Castillo and not resistant to leaf rust. The yield is low, and the cup profile is quite unique, complex with floral notes, spices, and a medium body.</t>
  </si>
  <si>
    <t>Sidra Bourbon</t>
  </si>
  <si>
    <t xml:space="preserve">Sidra is a hybrid between Bourbon and Typica varieties. Its sweet and bright profile is a characteristic of this unique variety, said to have originated in Ecuador. Sidra's height is medium, the yield is high, all the cherries ripen to be red, and the trees are tolerant to leaf rust and drought but are susceptible to pests.
</t>
  </si>
  <si>
    <t>SL - 28</t>
  </si>
  <si>
    <t>This microlot is 100% SL28. This varietal was developed by Scott Laboratories to suit Kenya soils and climate conditions in 1931. This varietal is very scarce in Colombia.</t>
  </si>
  <si>
    <t>Striped Bourbon</t>
  </si>
  <si>
    <t>A natural mutation of Bourbon, this unique variety was discovered in the municipality of San Adolfo in Huila. It features distinctive vertical stripes on its cherry. It is susceptible to leaf rust and yields low production. However, its cup profile is exceptionally complex, with a delightful blend of sweetness and floral notes.</t>
  </si>
  <si>
    <t>Tabi</t>
  </si>
  <si>
    <t>This micro-lot is 100% Tabi. This is a new variety developed by “Federacion Nacional de Cafeteros.” This unique variety is a cross between the Timor Hybrid, Bourbon, and Typica.</t>
  </si>
  <si>
    <t>Typica Mejorado</t>
  </si>
  <si>
    <t xml:space="preserve">This micro-lot is 100% Typica Mejorado. This varietal was developed in an experimental center in Ecuador. This coffee is rust-resistant, has good yield potential, and has a very good cup profile.  </t>
  </si>
  <si>
    <t>Pink Typica</t>
  </si>
  <si>
    <t>This is a traditional variety in Colombia and most of the small-scale coffee farmers have this variety in their parcels. Until the 1940s, the majority of coffee plantations in South and Central America were planted with Typica.Very few plantations produce ripe, pink-colored fruit, which makes this lot a unique selection.</t>
  </si>
  <si>
    <t>Typica</t>
  </si>
  <si>
    <t>This is a traditional variety in Colombia and most of the small-scale coffee farmers have this variety in their parcels.  In the late eighteenth century, cultivation spread to the Caribbean, Mexico, and Colombia. Until the 1940s, the majority of coffee plantations in South and Central America were planted with Typica.</t>
  </si>
  <si>
    <t>Variedad Colombia</t>
  </si>
  <si>
    <t>This microlot is 100% Variedad Colombia. This variety was developed by the Colombian Coffee Federation in order to fight leaf rust and is a hybridization of Caturra and Timor Hybrid.</t>
  </si>
  <si>
    <t xml:space="preserve">Wush Wush </t>
  </si>
  <si>
    <t>This microlot is 100% Wush Wush. This is a rare varietal grown in
Colombia. It is believed that it made its way from Ethiopia about 25
years ago from Wush Wush. The cup profile is very floral, tea-like, and
very complex.</t>
  </si>
  <si>
    <t>Yellow Bourbon</t>
  </si>
  <si>
    <t>This microlot is 100% Yellow Bourbon. This varietal is a natural mutation of the Coffee Arabigo. The name Bourbon was given after an island now called Reunion, off the coast of Madagascar.</t>
  </si>
  <si>
    <t>Yellow Variedad Colombia</t>
  </si>
  <si>
    <t>This microlot is 100% Variedad Colombia. This variety was developed by the Colombian Coffee Federation to fight leaf rust. It is a hybridization of Caturra and Timor Hybrid. This particular variety ripens to a golden yellow color instead of the traditional red.</t>
  </si>
  <si>
    <t>Yellow Caturra</t>
  </si>
  <si>
    <t>Yellow Papayo</t>
  </si>
  <si>
    <t>This microlot is 100% Papayo. This varietal is a rare mutation that took place in Acevedo, Huila. The cherries ripen to an orange colour and the shape is similar to a papaya. The cup profile is complex with defined jasmine, sugar cane and sweet chocolate notes.</t>
  </si>
  <si>
    <t>Yellow Tabi Bourbon</t>
  </si>
  <si>
    <t>This microlot is 50% Tabi and 50% Bourbon. Tabi is a new varietal developed by "Federación Nacional de Cafeteros". The word Tabi means good in Guambiano dialect, an indigenous group in Colombia.</t>
  </si>
  <si>
    <t>Yellow Typica</t>
  </si>
  <si>
    <t>This microlot is a natural mutation of Typica. The yellow cherries it produces are found to be sweeter than red cherries and have an increased tactile sensation in the final cup profile.</t>
  </si>
  <si>
    <t>Yellow Gesha</t>
  </si>
  <si>
    <t>Gesha is originally from Ethiopia and cherries usually ripen to be red. Out of 1000 Gesha trees we occasionally come across 1 or 2 trees producing yellow cherries, these are Yellow Gesha. This variety was planted in Jardines del Eden in 2019 at an altitude of 1800 m.a.s.l. We have witnessed the perfect performance of this variety which is leading to good yields.</t>
  </si>
  <si>
    <t xml:space="preserve">Yirgacheffe </t>
  </si>
  <si>
    <t>Yirgacheffe is a coffee variety that is native to Ethiopia. It is a type of Arabica coffee, and it is known for its delicate, floral aroma and bright, citrusy acidity. Yirgacheffe coffees are often described as having notes of tangerine, lemon, and jasmine. It is known for its high quality and unique flavor profile. It produces high-quality cherries and has high-yield production.</t>
  </si>
  <si>
    <t>Laurina</t>
  </si>
  <si>
    <t>A natural mutation of Bourbon that originally occurred on Réunion, first described in 1947. It is known to have a lower caffeine content than many other C. arabica varieties.</t>
  </si>
  <si>
    <t>Sudan Rume</t>
  </si>
  <si>
    <t>This micro-lot is 100% Rume Sudan. A rare Sudanese coffee
found in the high plateaus of Sudan. It is resistant to diseases,
Its yield is medium and the beans are large and long.</t>
  </si>
  <si>
    <t>Yellow Sudan Rume</t>
  </si>
  <si>
    <t>Orange Bourbon</t>
  </si>
  <si>
    <t>This micro-lot is 100% Orange Bourbon. This variety is a natural mutation of the Red Bourbon. The cherry turns into an intense orange color when fully ripe.</t>
  </si>
  <si>
    <t>Ombligon</t>
  </si>
  <si>
    <t xml:space="preserve">The seeds are from the Ethiopian Heirloom variety. Luis was the lucky one who was able to cultivate and understand the behavior of this plant. The results after many years of monitoring and experimenting are interesting. The cherry is elongated and has a belly button shape on the base of the fruit. The “belly button” term can be translated as Ombligon in Spanish, which is why Luis Anibal also refers to this variety as Ombligon.
</t>
  </si>
  <si>
    <t>Process</t>
  </si>
  <si>
    <t>text_lenght (max 330)</t>
  </si>
  <si>
    <t>Decaf</t>
  </si>
  <si>
    <t>This decaffeination process is unique. The caffeine is extracted from the bean using sugar cane ethyl acetate (EA) and water which enhances sweetness while maintaining coffee attributes.</t>
  </si>
  <si>
    <t>Natural Decaf</t>
  </si>
  <si>
    <t>This coffee was carefully hand-picked in order to select only the
ripest cherries and then hand sorted to remove any defects. The
coffee was sundried on raised beds in temperature-controlled
conditions until the ideal moisture content is achieved. This
decaffeination process is unique. The caffeine is extracted from
the bean using sugar cane ethyl acetate (EA) and water which enhances
sweetness while maintaining coffee attributes.</t>
  </si>
  <si>
    <t>Honey</t>
  </si>
  <si>
    <t>Cherries for this microlot were picked following strict ripeness criteria. Cherries were later pulped and exposed to 35 hours of dry fermentation. Later, the cherries were placed on raised beds for 11 days until 10% moisture content was reached.</t>
  </si>
  <si>
    <t xml:space="preserve">Honey - Peru </t>
  </si>
  <si>
    <t>Cherries were later pulped and exposed to 35 hours of dry fermentation. The cherries were then placed on raised beds for 11 days until 10% moisture content was reached.</t>
  </si>
  <si>
    <t>Honey + (Tartaric Acid / Banana)</t>
  </si>
  <si>
    <t>This coffee was exposed to a dry anaerobic fermentation period of 72 hours with the pulp on. During this fermentation stage, banana and tartaric acid were added. The cherries were then pulped and placed to dry on raised beds until ideal moisture content was achieved.</t>
  </si>
  <si>
    <t>Honey + (Tartaric Acid / Lulo)</t>
  </si>
  <si>
    <t>This coffee was exposed to a dry anaerobic fermentation period of 72 hours with the pulp on. During this fermentation stage, lulo and tartaric acid were added. The cherries were then pulped and placed to dry on raised beds until ideal moisture content was achieved.</t>
  </si>
  <si>
    <t>Honey + (Tartaric Acid/ Strawberry)</t>
  </si>
  <si>
    <t>This coffee was exposed to a dry anaerobic fermentation period of 72 hours with the pulp on. During this fermentation stage, strawberry and tartaric acid were added. The cherries were then pulped and placed to dry on raised beds until ideal moisture content was achieved.</t>
  </si>
  <si>
    <t>Honey + ( Tartaric Acid / Lychee)</t>
  </si>
  <si>
    <t>This coffee was exposed to a dry anaerobic fermentation period of 72 hours with the pulp on. During this fermentation stage, lychee and tartaric acid were added. The cherries were then pulped and placed to dry on raised beds until ideal moisture content was achieved.</t>
  </si>
  <si>
    <t>Honey + ( Tartaric Acid / Peach)</t>
  </si>
  <si>
    <t>This coffee was exposed to a dry anaerobic fermentation period of 72 hours with the pulp on. During this fermentation stage, peach and tartaric acid were added. The cherries were then pulped and placed to dry on raised beds until ideal moisture content was achieved.</t>
  </si>
  <si>
    <t>Honey + ( Tartaric Acid / Passion Fruit)</t>
  </si>
  <si>
    <t>This coffee was exposed to a dry anaerobic fermentation period of 72 hours with the pulp on. During this fermentation stage, passion fruit pulp and tartaric acid were added. The cherries were then pulped and placed to dry on raised beds until ideal moisture content was achieved.</t>
  </si>
  <si>
    <t>Honey + ( Tartaric Acid / Cinnamon)</t>
  </si>
  <si>
    <t>This coffee was exposed to a dry anaerobic fermentation period of 72 hours with the pulp on. During this fermentation stage, cinnamon sticks and tartaric acid were added. The cherries were then pulped and placed to dry on raised beds until ideal moisture content was achieved.</t>
  </si>
  <si>
    <t>Honey + ( Tartaric Acid / Eucalyptus)</t>
  </si>
  <si>
    <t>This coffee was exposed to a dry anaerobic fermentation period of 72 hours with the pulp on. During this fermentation stage, dried eucalyptus leaves and tartaric acid were added. The cherries were then pulped and placed to dry on raised beds until ideal moisture content was achieved.</t>
  </si>
  <si>
    <t>Honey + (Tartaric Acid / Lemongrass)</t>
  </si>
  <si>
    <t>This coffee was exposed to a dry anaerobic fermentation period of 72 hours with the pulp on. During this fermentation stage, dried lemongrass and tartaric acid were added. The cherries were then pulped and placed to dry on raised beds until ideal moisture content was achieved.</t>
  </si>
  <si>
    <t>Honey + (Tartaric Acid / Mint)</t>
  </si>
  <si>
    <t>This coffee was exposed to a dry anaerobic fermentation period of 72 hours with the pulp on. During this fermentation stage, dried mint leaves and tartaric acid were added. The cherries were then pulped and placed to dry on raised beds until ideal moisture content was achieved.</t>
  </si>
  <si>
    <t>Honey + (Tartaric Acid / Ginger)</t>
  </si>
  <si>
    <t>This coffee was exposed to a dry anaerobic fermentation period of 72 hours with the pulp on. During this fermentation stage,ginger and tartaric acid were added. The cherries were then pulped and placed to dry on raised beds until ideal moisture content was achieved.</t>
  </si>
  <si>
    <t>Honey + (Tartaric Acid / Grape)</t>
  </si>
  <si>
    <t>This coffee was exposed to a dry anaerobic fermentation period of 72 hours with the pulp on. During this fermentation stage, mashed fresh grapes and tartaric acid were added. The cherries were then pulped and placed to dry on raised beds with mashed fresh grapes placed amongst the coffee until the ideal moisture content was achieved.</t>
  </si>
  <si>
    <t>Honey + (Wine Yeast / Mint)</t>
  </si>
  <si>
    <t>This coffee was exposed to a dry anaerobic fermentation period of 72 hours with the pulp on. During this fermentation stage, dried mint leaves and wine yeast were added. The cherries were then pulped and placed to dry on raised beds until ideal moisture content was achieved.</t>
  </si>
  <si>
    <t>Honey + (Wine Yeast / Banana Maceration)</t>
  </si>
  <si>
    <t>This coffee was exposed to a dry anaerobic fermentation period of 72 hours with the pulp on. During this fermentation stage, banana and wine yeast were added. The cherries were then pulped and placed to dry on raised beds until the ideal moisture content was achieved.</t>
  </si>
  <si>
    <t>Honey + (Wine Yeast / Banana)</t>
  </si>
  <si>
    <t>Honey + (Wine Yeast / Cinnamon)</t>
  </si>
  <si>
    <t>This coffee was exposed to a dry anaerobic fermentation period of 72 hours with the pulp on. During this fermentation stage, cinnamon sticks and wine yeast were added. The cherries were then pulped and placed to dry on raised beds until the ideal moisture content was achieved.</t>
  </si>
  <si>
    <t>Honey + (Wine Yeast / Lulo)</t>
  </si>
  <si>
    <t>This coffee was exposed to a dry anaerobic fermentation period of 72 hours with the pulp on. During this fermentation stage, lulo and wine yeast were added. The cherries were then pulped and placed to dry on raised beds until the ideal moisture content was achieved.</t>
  </si>
  <si>
    <t>Honey + (Wine Yeast / Lychee)</t>
  </si>
  <si>
    <t>This coffee was exposed to a dry anaerobic fermentation period of 72 hours with the pulp on. During this fermentation stage, lychee and wine yeast were added. The cherries were then pulped and placed to dry on raised beds until the ideal moisture content was achieved.</t>
  </si>
  <si>
    <t>Honey + (Wine Yeast / Grape)</t>
  </si>
  <si>
    <t>This coffee was exposed to a dry anaerobic fermentation period of 72 hours with the pulp on. During this fermentation stage, mashed fresh grapes and wine yeast were added. The cherries were then pulped and placed to dry on raised beds with mashed fresh grapes placed amongst the coffee until the ideal moisture content was achieved.</t>
  </si>
  <si>
    <t>Honey + (Wine Yeast / Orange)</t>
  </si>
  <si>
    <t>This coffee was exposed to a dry anaerobic fermentation period of 72 hours with the pulp on. During this fermentation stage, ripe oranges and wine yeast were added. The cherries were then pulped and placed to dry on raised beds with ripe oranges placed amongst the coffee until the ideal moisture content was achieved.</t>
  </si>
  <si>
    <t>Honey + (Wine Yeast / Blackberries)</t>
  </si>
  <si>
    <t>This coffee was exposed to a dry anaerobic fermentation period of 72 hours with the pulp on. During this fermentation stage blackberries and wine yeast were added. The cherries were then pulped and placed to dry on raised beds until the ideal moisture content was achieved.</t>
  </si>
  <si>
    <t>Honey + (Wine Yeast / Blueberry)</t>
  </si>
  <si>
    <t>This coffee was exposed to a dry anaerobic fermentation period of 72 hours with the pulp on. During this fermentation stage blueberries and wine yeast were added. The cherries were then pulped and placed to dry on raised beds until the ideal moisture content was achieved.</t>
  </si>
  <si>
    <t>Honey + (Wine Yeast / Coconut )</t>
  </si>
  <si>
    <t>This coffee was exposed to a dry anaerobic fermentation period of 72 hours with the pulp on. During this fermentation stage coconuts and wine yeast were added. The cherries were then pulped and placed to dry on raised beds until the ideal moisture content was achieved.</t>
  </si>
  <si>
    <t>Honey + (Wine Yeast / Coconut Maceration)</t>
  </si>
  <si>
    <t>Honey + (Wine Yeast / Passion Fruit)</t>
  </si>
  <si>
    <t>This coffee was exposed to a dry anaerobic fermentation period of 72 hours with the pulp on. During this fermentation stage passion fruit pulp and wine yeast were added. The cherries were then pulped and placed to dry on raised beds until the ideal moisture content was achieved.</t>
  </si>
  <si>
    <t>Honey + (Wine Yeast / Green Apple)</t>
  </si>
  <si>
    <t>This coffee was exposed to a dry anaerobic fermentation period of 72 hours with the pulp on. During this fermentation stage green apple and wine yeast were added. The cherries were then pulped and placed to dry on raised beds until the ideal moisture content was achieved.</t>
  </si>
  <si>
    <t>Honey + (Wine Yeast / Red Fruits)</t>
  </si>
  <si>
    <t>This coffee was exposed to a dry anaerobic fermentation period of 72 hours with the pulp on. During this fermentation stage ripe red fruits and wine yeast were added. The cherries were then pulped and placed to dry on raised beds with ripe red fruits placed amongst the coffee until the ideal moisture content was achieved.</t>
  </si>
  <si>
    <t>Honey + (Wine Yeast / Dragon Fruit)</t>
  </si>
  <si>
    <t>This coffee was exposed to a dry anaerobic fermentation period of 72 hours with the pulp on. During this fermentation stage dragon fruit and wine yeast were added. The cherries were then pulped and placed to dry on raised beds until the ideal moisture content was achieved.</t>
  </si>
  <si>
    <t>Honey + (Wine Yeast / Strawberry)</t>
  </si>
  <si>
    <t>This coffee was exposed to a dry anaerobic fermentation period of 72 hours with the pulp on. During this fermentation stage strawberry and wine yeast were added. The cherries were then pulped and placed to dry on raised beds with ripe strawberry placed amongst the coffee until the ideal moisture content was achieved.</t>
  </si>
  <si>
    <t>Honey+ (Wine Yeast  / Coco Peach)</t>
  </si>
  <si>
    <t>This coffee was exposed to a dry anaerobic fermentation period of 72 hours with the pulp on. During this fermentation stage peaches, coconut and wine yeast were added. The cherries were then pulped and placed to dry on raised beds with peaches placed amongst the coffee until the ideal moisture content was achieved.</t>
  </si>
  <si>
    <t>Honey+ (Wine Yeast  / Peach)</t>
  </si>
  <si>
    <t>This coffee was exposed to a dry anaerobic fermentation period of 72 hours with the pulp on. During this fermentation stage peaches and wine yeast were added. The cherries were then pulped and placed to dry on raised beds with peaches placed amongst the coffee until the ideal moisture content was achieved.</t>
  </si>
  <si>
    <t>Honey + Green Apple</t>
  </si>
  <si>
    <t>This coffee was exposed to a dry anaerobic fermentation period of 72 hours with the pulp on. During this fermentation stage, green apples were added. The cherries were then pulped and placed to dry on raised beds until the ideal moisture content was achieved.</t>
  </si>
  <si>
    <t>Honey + Blackberry</t>
  </si>
  <si>
    <t>This coffee was exposed to a dry anaerobic fermentation period of 72 hours with the pulp on. During this fermentation stage, ripe blackberries were added. The cherries were then pulped and placed to dry on raised beds until the ideal moisture content was achieved.</t>
  </si>
  <si>
    <t>Honey + Rose tea</t>
  </si>
  <si>
    <t>This coffee was exposed to a dry anaerobic fermentation period of 72 hours with the pulp on. During this fermentation stage, smashed roses were added. The cherries were then pulped and placed to dry on raised beds until ideal moisture content was achieved.</t>
  </si>
  <si>
    <t>Honey + Ginger</t>
  </si>
  <si>
    <t>This coffee was exposed to a dry anaerobic fermentation period of 72 hours with the pulp on. During this fermentation stage,Ginger was added. The cherries were then pulped and placed to dry on raised beds until ideal moisture content was achieved.</t>
  </si>
  <si>
    <t>Honey + Cinnamon</t>
  </si>
  <si>
    <t>This coffee was exposed to a dry anaerobic fermentation period of 72 hours with the pulp on. During this fermentation stage, cinnamon sticks were added. The cherries were then pulped and placed to dry on raised beds until the ideal moisture content was achieved.</t>
  </si>
  <si>
    <t>Honey +  Passionfruit</t>
  </si>
  <si>
    <t>This coffee was exposed to a dry anaerobic fermentation period of 72 hours with the pulp on. During this fermentation stage passion fruit pulp was added. The cherries were then pulped and placed to dry on raised beds until the ideal moisture content was achieved.</t>
  </si>
  <si>
    <t>Honey + Lychee</t>
  </si>
  <si>
    <t>This coffee was exposed to a dry anaerobic fermentation period of 72 hours with the pulp on. During this fermentation stage, dehydrated lychee was added. Later, the coffee was pulped and placed on raised beds below 35ºC until ideal moisture content was achieved.</t>
  </si>
  <si>
    <t>Honey +  Strawberry</t>
  </si>
  <si>
    <t>This coffee was exposed to a dry anaerobic fermentation period of 72 hours with the pulp on. During this fermentation stage, strawberries were added. Later, the coffee was pulped and placed on raised beds below 35ºC until ideal moisture content was achieved.</t>
  </si>
  <si>
    <t>Honey +  Tripple Berries</t>
  </si>
  <si>
    <t>This coffee was exposed to a dry anaerobic fermentation period of 72 hours with the pulp on. During this fermentation stage, red fruits were added. Later, the coffee was pulped and placed on raised beds below 35ºC until ideal moisture content was achieved.</t>
  </si>
  <si>
    <t>Honey +  Candy Crush</t>
  </si>
  <si>
    <t>This coffee was exposed to a dry anaerobic fermentation period of 72 hours with the pulp on. During this fermentation stage, blackberries were added. Later, the coffee was pulped and placed on raised beds below 35ºC until ideal moisture content was achieved.</t>
  </si>
  <si>
    <t>Honey +  Coco Peach</t>
  </si>
  <si>
    <t>This coffee was exposed to a dry anaerobic fermentation period of 72 hours with the pulp on. During this fermentation stage coco and peach were added. The cherries were then pulped and placed to dry on raised beds until the ideal moisture content was achieved.</t>
  </si>
  <si>
    <t>Honey +  Coconut</t>
  </si>
  <si>
    <t>This coffee was exposed to a dry anaerobic fermentation period of 72 hours with the pulp on. During this fermentation stage, coconut was added. Later, the coffee was pulped and placed on raised beds below 35ºC until ideal moisture content was achieved.</t>
  </si>
  <si>
    <t>Honey +  Blackberry Mint</t>
  </si>
  <si>
    <t>This coffee was exposed to a dry anaerobic fermentation period of 72 hours with the pulp on. During this fermentation stage blackberries and mint leaves were added. The cherries were then pulped and placed to dry on raised beds until the ideal moisture content was achieved.</t>
  </si>
  <si>
    <t>Honey + Tropical Sour</t>
  </si>
  <si>
    <t>This coffee was exposed to a dry anaerobic fermentation period of 72 hours with the pulp on. During this fermentation stage, lulo were added. The cherries were then pulped and placed to dry on raised beds until the ideal moisture content was achieved.</t>
  </si>
  <si>
    <t>Honey + Lulo</t>
  </si>
  <si>
    <t>Honey + Banana</t>
  </si>
  <si>
    <t>This coffee was exposed to a dry anaerobic fermentation period of 72 hours with the pulp on. During this fermentation stage, dehydrated banana was added. Later, the coffee was pulped and placed on raised beds below 35ºC until ideal moisture content was achieved.</t>
  </si>
  <si>
    <t>Honey + Wild Citrus</t>
  </si>
  <si>
    <t>This coffee was exposed to a dry anaerobic fermentation period of 72 hours with the pulp on. During this fermentation stage green apples were added. The cherries were then pulped and placed to dry on raised beds until the ideal moisture content was achieved.</t>
  </si>
  <si>
    <t>Honey + Mandarin</t>
  </si>
  <si>
    <t>This coffee was exposed to a dry anaerobic fermentation period of 72 hours with the pulp on. During this fermentation stage, dehydrated mandarin skin was added. Later, the coffee was pulped and placed on raised beds mixed with dehydrated mandarin skin below 35ºC until ideal moisture content was achieved.</t>
  </si>
  <si>
    <t xml:space="preserve">Honey + Orange </t>
  </si>
  <si>
    <t>This coffee was exposed to a dry anaerobic fermentation period of 72 hours with the pulp on. During this fermentation stage, ripe oranges were added. The cherries were then pulped and placed to dry on raised beds  until the ideal moisture content was achieved.</t>
  </si>
  <si>
    <t>Honey Anaerobic</t>
  </si>
  <si>
    <t>This coffee was harvested following strict ripeness criteria. Cherries were exposed to a dry anaerobic fermentation period of 40 hours. The cherries were then pulped and placed on raised beds below 35ºC until ideal moisture content was achieved.</t>
  </si>
  <si>
    <t>Honey CM</t>
  </si>
  <si>
    <t>This lot was exposed to aerobic fermentation for 24 hours. The coffee was then placed inside Grainpro bags for 50 hours maintaining a temperature below 22ºC and adding CO2. Finally, the coffee was pulped and placed on raised beds at a temperature below 35ºC until ideal moisture content was achieved.</t>
  </si>
  <si>
    <t>Honey ICE</t>
  </si>
  <si>
    <t>This coffee was exposed to a dry aerobic fermentation of 24 hours. The cherries were then placed inside Grainpro bags for 50 hours maintaining a temperature of below 22ºC. The coffee was then frozen for 72 hours. Finally, the coffee was pulped and placed on raised beds at a temperature below 35 ºC until ideal moisture content was achieved.</t>
  </si>
  <si>
    <t>Honey Lactic</t>
  </si>
  <si>
    <t>This coffee was exposed to a dry aerobic fermentation of 24 hours then placed inside Grainpro bags for 90 hours maintaining a temperature below 22ºC. In this environment, the bacteria feed on the carbohydrates and sugars found in the mucilage. This leads to a higher concentration of lactic acid. Finally, the coffee was pulped and placed on raised beds at a temperature below 35ºC until ideal moisture content was achieved.</t>
  </si>
  <si>
    <t>Honey Spices</t>
  </si>
  <si>
    <t>This coffee was exposed to a dry anaerobic fermentation of 72 hours with the pulp on. During this stage of fermentation, spices were added. Afterwards, cherries were pulped and left to dry on raised beds until 10.5% moisture content was reached.</t>
  </si>
  <si>
    <t>Natural</t>
  </si>
  <si>
    <t>This coffee was carefully hand-picked in order to select only the ripest cherries and then hand sorted to remove any defects. The coffee was sundried on raised beds in temperature controlled conditions until the ideal moisture content is achieved.</t>
  </si>
  <si>
    <t>Natural + Red Berries Maceration</t>
  </si>
  <si>
    <t>This coffee was exposed to a dry anaerobic fermentation period of 72 hours with the pulp on. During this fermentation stage, red fruits were added. Afterward, cherries were placed to dry on raised beds until ideal moisture content was achieved.</t>
  </si>
  <si>
    <t>Natural + Red Berries</t>
  </si>
  <si>
    <t>Natural + Strawberry</t>
  </si>
  <si>
    <t>This coffee was exposed to a dry anaerobic fermentation period of 72 hours with the pulp on. During this fermentation stage, strawberries were added. Afterward, cherries were placed to dry on raised beds until ideal moisture content was achieved.</t>
  </si>
  <si>
    <t>Natural + Apple Pulp</t>
  </si>
  <si>
    <t>This coffee was exposed to a dry anaerobic fermentation period of 72 hours with the pulp on. During this fermentation stage, apple pulp was added. Afterward, cherries were placed to dry on raised beds until ideal moisture content was achieved.</t>
  </si>
  <si>
    <t>Natural + Cinnamon</t>
  </si>
  <si>
    <t>This coffee was exposed to a dry anaerobic fermentation period of 72 hours with the pulp on. During this fermentation stage, dried cinnamon sticks were added. Afterward, cherries were placed to dry on raised beds until ideal moisture content was achieved.</t>
  </si>
  <si>
    <t>Natural + Wild Citrus</t>
  </si>
  <si>
    <t>This coffee was exposed to a dry anaerobic fermentation period of 72 hours with the pulp on. During this fermentation stage, green apples were added. Afterward, cherries were placed to dry on raised beds until ideal moisture content was achieved.</t>
  </si>
  <si>
    <t>Natural + (Tartaric Acid / Cinnamon)</t>
  </si>
  <si>
    <t>This coffee was exposed to a dry anaerobic fermentation period of 72 hours with the pulp on. During this fermentation stage, dried cinnamon sticks and tartaric acid were added. Afterwards, cherries were placed to dry on raised beds until ideal moisture content was achieved.</t>
  </si>
  <si>
    <t>Natural + Mandarin</t>
  </si>
  <si>
    <t>This lot was exposed to a dry anaerobic fermentation of 48 hours. During this fermentation, dehydrated mandarine skin was added to the anaerobic environment. Later, coffee was placed on raised beds mixed with dehydrated mandarine skin below 35ºC until ideal moisture content was achieved.</t>
  </si>
  <si>
    <t>Natural 150 hours</t>
  </si>
  <si>
    <t>This coffee was carefully hand-picked in order to select only the ripest cherries. The coffee was then placed in an aerobic environment for 24 hours before then being placed in Grainpro bags for 150 hours for further fermentation. The whole cherries were then sundried on raised beds until ideal moisture content was achieved.</t>
  </si>
  <si>
    <t>Natural 100 hours</t>
  </si>
  <si>
    <t>This coffee was carefully hand-picked in order to select only the ripest cherries. The coffee was then placed in an aerobic environment for 24 hours before then being placed in Grainpro bags for 100 hours for further fermentation. The whole cherries were then sundried on raised beds until ideal moisture content was achieved.</t>
  </si>
  <si>
    <t>Natural 200 hours</t>
  </si>
  <si>
    <t>This coffee was carefully hand-picked in order to select only the ripest cherries. The coffee was then placed in an aerobic environment for 24 hours before then being placed in Grainpro bags for 200 hours for further fermentation. The whole cherries were then sundried on raised beds until ideal moisture content was achieved.</t>
  </si>
  <si>
    <t>Natural Anaerobic</t>
  </si>
  <si>
    <t>This coffee was carefully hand-picked in order to select only the ripest cherries. The cherries were then fermented for 40 hours in an anaerobic environment. Afterwards, the coffee was sundried until ideal moisture content was achieved.</t>
  </si>
  <si>
    <t>Natural Anaerobic 200 hours</t>
  </si>
  <si>
    <t>Natural Anaerobic 300 hours</t>
  </si>
  <si>
    <t>This coffee was carefully hand-picked in order to select only the ripest cherries. The coffee was then placed in an aerobic environment for 24 hours before then being placed in Grainpro bags for 300 hours for further fermentation. The whole cherries were then sundried on raised beds until ideal moisture content was achieved.</t>
  </si>
  <si>
    <t>Natural CM</t>
  </si>
  <si>
    <t>This lot was first aerobically fermented for 24 hours. Then the whole cherries were placed inside Grainpro bags for 50 hours maintaining a temperature below 22ºC and adding CO2. Finally, the whole cherries were placed on raised beds at a temperature below 35ºC until ideal moisture content was achieved.</t>
  </si>
  <si>
    <t>Natural CM 240</t>
  </si>
  <si>
    <t>This lot was exposed to aerobic fermentation for 24 hours. The coffee was then placed inside Grainpro bags for 240 hours maintaining a temperature below 22ºC and adding CO2. Finally, the coffee was placed on raised beds at a temperature below 35ºC until ideal moisture content was achieved.</t>
  </si>
  <si>
    <t>Natural CM 200</t>
  </si>
  <si>
    <t>This lot was exposed to aerobic fermentation for 24 hours. The coffee was then placed inside Grainpro bags for 200 hours maintaining a temperature below 22ºC and adding CO2. Finally, the coffee was placed on raised beds at a temperature below 35ºC until ideal moisture content was achieved.</t>
  </si>
  <si>
    <t>Natural Double Anaerobic</t>
  </si>
  <si>
    <t>This lot was exposed to a dry anaerobic fermentation of 48 hours inside Grainbro bags followed by a further 24 hours of aerobic fermentation. Then the coffee was placed back inside Grainpro bags for another 48 hours. Finally, the coffee was placed on raised beds below 35ºC until ideal moisture content was achieved.</t>
  </si>
  <si>
    <t>Natural EF</t>
  </si>
  <si>
    <t>This coffee was carefully hand-picked in order to select only the ripest cherries. Later cherries were exposed to anaerobic fermentation for 90 hours. Then the whole cherries were placed on raised beds until 10.5% moisture content was achieved.</t>
  </si>
  <si>
    <t>Natural EF1</t>
  </si>
  <si>
    <t xml:space="preserve">This coffee was exposed to a dry aerobic fermentation of 24 hours before being placed inside Grainpro bags for 25 hours at a temperature below 22ºC. Then the whole cherries were placed on raised beds until 11% moisture content was achieved. </t>
  </si>
  <si>
    <t>Natural EF2</t>
  </si>
  <si>
    <t xml:space="preserve">This coffee was exposed to a dry aerobic fermentation of 24 hours before being placed inside Grainpro bags for 50 hours at a temperature below 22ºC. Then the whole cherries were placed on raised beds until 11% moisture content was achieved. </t>
  </si>
  <si>
    <t>Natural Ice</t>
  </si>
  <si>
    <t>This coffee was exposed to a dry aerobic fermentation of 24 hours before being placed inside Grainpro bags for 50 hours at a temperature below 22ºC. Then the coffee was frozen for 72 hours. Finally, the coffee was placed on raised beds below 35 ºC until ideal moisture content was achieved.</t>
  </si>
  <si>
    <t>Natural Lactic</t>
  </si>
  <si>
    <t>This coffee was exposed to a dry aerobic fermentation of 24 hours before being placed inside Grainpro bags for 90 hours, maintained at a temperature below 22ºC. In this environment, the bacteria feed on carbohydrates and sugars found on the mucilage leading to a higher concentration of lactic acid. Then this coffee was placed on raised beds until 11% moisture content is achieved.</t>
  </si>
  <si>
    <t>Natural Rum Aged</t>
  </si>
  <si>
    <t>This coffee was exposed to a dry aerobic fermentation of 24 hours. The cherries were then exposed to a dry anaerobic fermentation of 50 hours inside rum barrels. The coffee was placed on raised beds until the ideal moisture content was achieved. Finally, the coffee was then rested inside rum barrels for 10-20 days.</t>
  </si>
  <si>
    <t>Natural Thermal Stroke</t>
  </si>
  <si>
    <t>Cherries were first placed inside an anaerobic environment for 48 hours. Then the coffee was dried inside mechanical dryers for 20 hours at 35 ºC. The cherries were later taken out of the dryers and placed inside an anaerobic environment for 20 hours at 70ºC. Final the whole cherries were dried until ideal moisture content was achieved.</t>
  </si>
  <si>
    <t>Washed</t>
  </si>
  <si>
    <t>This coffee is harvested following strict ripeness criteria, floated and hand-sorted to remove any defects. Cherries were then exposed to 30 hours of underwater fermentation before being pulped. The parchment was then gently washed and then dried in temperature controlled conditions until ideal moisture content was achieved.</t>
  </si>
  <si>
    <t>Washed 200 hr</t>
  </si>
  <si>
    <t>This coffee is harvested following strict ripeness criteria, later floated and hand-sorted to remove any defects. Cherries are exposed to 200 hours of underwater fermentation before being de-pulped. Parchment is gently washed and later dried under temperature-controlled conditions until ideal moisture content was achieved.</t>
  </si>
  <si>
    <t xml:space="preserve">Washed - Peru </t>
  </si>
  <si>
    <t>Washed + Lychee</t>
  </si>
  <si>
    <t>This lot was exposed to a dry anaerobic fermentation of 48 hours. During this fermentation period, lychees were added to the anaerobic environment. The coffee was then gently washed and placed on raised beds below 35ºC until ideal moisture content was achieved.</t>
  </si>
  <si>
    <t>Washed + Red Fruits</t>
  </si>
  <si>
    <t>This lot was exposed to a dry anaerobic fermentation of 48 hours. During this fermentation period, red fruits were added to the anaerobic environment. The coffee was then gently washed and placed on raised beds below 35ºC until ideal moisture content was achieved.</t>
  </si>
  <si>
    <t>Washed + Blackberry</t>
  </si>
  <si>
    <t>This lot was exposed to a dry anaerobic fermentation of 48 hours. During this fermentation period, blackberries were added to the anaerobic environment. The coffee was then gently washed and placed on raised beds below 35ºC until ideal moisture content was achieved.</t>
  </si>
  <si>
    <t>Washed + Peach</t>
  </si>
  <si>
    <t>This lot was exposed to a dry anaerobic fermentation of 48 hours. During this fermentation period, peaches were added to the anaerobic environment. The coffee was then gently washed and placed on raised beds below 35ºC until ideal moisture content was achieved.</t>
  </si>
  <si>
    <t>Washed + Passionfruit</t>
  </si>
  <si>
    <t>This lot was exposed to a dry anaerobic fermentation of 48 hours. During this fermentation period, passionfruit pulp was added to the anaerobic environment. The coffee was then gently washed and placed on raised beds below 35ºC until ideal moisture content was achieved.</t>
  </si>
  <si>
    <t>Washed + Strawberry</t>
  </si>
  <si>
    <t>This lot was exposed to a dry anaerobic fermentation of 48 hours. During this fermentation period, strawberries were added to the anaerobic environment. The coffee was then gently washed and placed on raised beds below 35ºC until ideal moisture content was achieved.</t>
  </si>
  <si>
    <t>Washed + Green apple</t>
  </si>
  <si>
    <t>This lot was exposed to a dry anaerobic fermentation of 48 hours. During this fermentation period, green apple was added to the anaerobic environment. The coffee was then gently washed and placed on raised beds below 35ºC until ideal moisture content was achieved.</t>
  </si>
  <si>
    <t>Washed + Mandarin</t>
  </si>
  <si>
    <t>This lot was exposed to a dry anaerobic fermentation of 48 hours. During this fermentation period, dehydrated mandarin skin was added to the anaerobic environment. The coffee was then gently washed and placed on raised beds mixed with dehydrated mandarin skin below 35ºC until ideal moisture content was achieved.</t>
  </si>
  <si>
    <t>Washed Anaerobic</t>
  </si>
  <si>
    <t>This coffee was carefully hand-picked in order to select only the ripest cherries. Later, the cherries were fermented for 40 hours in an anaerobic environment. Then the cherries were pulped, gently washed, and sundried until ideal moisture content was achieved.</t>
  </si>
  <si>
    <t>Washed Anaerobic 200 hours</t>
  </si>
  <si>
    <t>This coffee was carefully hand-picked in order to select only the ripest cherries. The cherries were then exposed to aerobic environment for 24 hours before being placed inside Grainpro bags for 200 hours of fermentation. Then the coffee was pulped, gently washed, and sundried until ideal moisture content was achieved.</t>
  </si>
  <si>
    <t>Washed CM +  Mandarin</t>
  </si>
  <si>
    <t>This lot was exposed to aerobic fermentation for 24 hours. Later, the coffee was placed inside Grainpro bags for 50 hours maintaining a temperature below 22ºC and mandarin and CO2 were added. Finally, the coffee was pulped, gently washed, and placed on raised beds until ideal moisture content was achieved.</t>
  </si>
  <si>
    <t>Washed CM</t>
  </si>
  <si>
    <t>This lot was exposed to aerobic fermentation for 24 hours. Later, the coffee was placed inside Grainpro bags for 50 hours maintaining a temperature below 22ºC and CO2 was added. Finally, the coffee was pulped, gently washed, and placed on raised beds until ideal moisture content was achieved.</t>
  </si>
  <si>
    <t>Washed CM 200hr</t>
  </si>
  <si>
    <t>This lot was exposed to aerobic fermentation for 24 hours. Later, the coffee was placed inside Grainpro bags for 200 hours maintaining a temperature below 22ºC and CO2 was added. Finally, the coffee was pulped, gently washed, and placed on raised beds until ideal moisture content was achieved.</t>
  </si>
  <si>
    <t>Washed Double Anaerobic</t>
  </si>
  <si>
    <t>This lot was exposed to a dry anaerobic fermentation of 48 hours inside Grainpro bags. Then the coffee was exposed to 24 hours of aerobic fermentation. Next, the coffee was placed back inside Grainpro bags for another 48 hours. Finally, the coffee was gently washed and placed on raised beds below 35ºC until ideal moisture content was achieved.</t>
  </si>
  <si>
    <t>Washed EF</t>
  </si>
  <si>
    <t>This coffee was carefully hand-picked in order to select only the ripest cherries. The cherries were then exposed to anaerobic fermentation for 90 hours. Then the coffee was gently washed and placed on raised beds until ideal moisture content was achieved.</t>
  </si>
  <si>
    <t>Washed EF2</t>
  </si>
  <si>
    <t>This coffee was exposed to a dry aerobic fermentation of 24 hours and then placed inside Grainpro bags for 50 hours maintaining a temperature below 22ºC. Finally, the coffee was pulped, gently washed, and placed on raised beds until ideal moisture content was achieved.</t>
  </si>
  <si>
    <t>Washed Lactic</t>
  </si>
  <si>
    <t>This coffee was exposed to a dry aerobic fermentation of 24 hours and then placed inside Grainpro bags for 90 hours at a temperature below 22ºC. In this environment, the bacteria feed on carbohydrates and sugars in the mucilage which leads to a higher concentration of lactic acid. Finally, the coffee was pulped, gently washed, and placed on raised beds until ideal moisture content was achieved.</t>
  </si>
  <si>
    <t>Washed Rum Aged</t>
  </si>
  <si>
    <t>This coffee was exposed to a dry anaerobic fermentation of 48 hours inside rum barrels. Then the coffee was gently washed and placed on raised beds until ideal moisture content was achieved.</t>
  </si>
  <si>
    <t>White wine Fermentation (WWF)</t>
  </si>
  <si>
    <t>This lot was exposed to a dry aerobic fermentation of 30 hours and then placed onto raised beds until 20% moisture content was achieved. The coffee was then placed inside Grainpro bags for 80 hours. At this stage, fermentation is driven by natural yeast. The coffee was then placed back onto the raised beds until ideal moisture is achieved.</t>
  </si>
  <si>
    <t>Washed + (Wine Yeast / Orange)</t>
  </si>
  <si>
    <t>This lot was exposed to a dry anaerobic fermentation of 48 hours. During this fermentation stage, ripe oranges and wine yeast were added. The coffee was then gently washed and placed on raised beds below 35ºC until ideal moisture content was achieved.</t>
  </si>
  <si>
    <t>Washed + (Wine Yeast / Strawberry)</t>
  </si>
  <si>
    <t>This lot was exposed to a dry anaerobic fermentation of 48 hours. During this fermentation stage strawberry and wine yeast were added. The coffee was then gently washed and placed on raised beds below 35ºC until ideal moisture content was achieved.</t>
  </si>
  <si>
    <t>Washed + (Wine Yeast / Grape)</t>
  </si>
  <si>
    <t>This lot was exposed to a dry anaerobic fermentation of 48 hours. During this fermentation stage, mashed fresh grapes and wine yeast were added. The coffee was then gently washed and placed on raised beds below 35ºC until ideal moisture content was achieved.</t>
  </si>
  <si>
    <t>Washed + (Wine Yeast / Blackberries )</t>
  </si>
  <si>
    <t>This lot was exposed to a dry anaerobic fermentation of 48 hours. During this fermentation stage blackberries and wine yeast were added. The coffee was then gently washed and placed on raised beds below 35ºC until ideal moisture content was achieved.</t>
  </si>
  <si>
    <t>Washed + (Wine Yeast / Peach)</t>
  </si>
  <si>
    <t>This lot was exposed to a dry anaerobic fermentation of 48 hours. During this fermentation stage peaches and wine yeast were added. The coffee was then gently washed and placed on raised beds below 35ºC until ideal moisture content was achieved.</t>
  </si>
  <si>
    <t>Washed + (Wine Yeast / Green Apple)</t>
  </si>
  <si>
    <t>This lot was exposed to a dry anaerobic fermentation of 48 hours. During this fermentation stage green apples and wine yeast were added. The coffee was then gently washed and placed on raised beds below 35ºC until ideal moisture content was achieved.</t>
  </si>
  <si>
    <t>Washed + (Wine Yeast / Red Fruits)</t>
  </si>
  <si>
    <t>This lot was exposed to a dry anaerobic fermentation of 48 hours. During this fermentation stage ripe red fruits and wine yeast were added. The coffee was then gently washed and placed on raised beds below 35ºC until ideal moisture content was achieved.</t>
  </si>
  <si>
    <t>Washed + (Wine Yeast /  Passion Fruit)</t>
  </si>
  <si>
    <t>This lot was exposed to a dry anaerobic fermentation of 48 hours. During this fermentation stage passion fruit pulp and wine yeast were added. The coffee was then gently washed and placed on raised beds below 35ºC until ideal moisture content was achieved.</t>
  </si>
  <si>
    <t>Washed + (Wine Yeast /  Lulo)</t>
  </si>
  <si>
    <t>This lot was exposed to a dry anaerobic fermentation of 48 hours. During this fermentation stage Lulo and wine yeast were added. The coffee was then gently washed and placed on raised beds below 35ºC until ideal moisture content was achieved.</t>
  </si>
  <si>
    <t>Washed + (Wine Yeast / Tangerine)</t>
  </si>
  <si>
    <t>This lot was exposed to a dry anaerobic fermentation of 48 hours. During this fermentation stage, ripe tangerines and wine yeast were added. The coffee was then gently washed and placed on raised beds below 35ºC until ideal moisture content was achieved.</t>
  </si>
  <si>
    <t>Washed + (Tartaric Acid / Cinnamon)</t>
  </si>
  <si>
    <t>This coffee was exposed to a dry anaerobic fermentation period of 48 hours. During this fermentation stage, dried cinnamon sticks and tartaric acid were added. The coffee was then gently washed and placed on raised beds below 35ºC until ideal moisture content was achieved.</t>
  </si>
  <si>
    <t>Washed + (Wine Yeast /  Banana)</t>
  </si>
  <si>
    <t>This lot was exposed to a dry anaerobic fermentation of 48 hours. During this fermentation stage, banana and wine yeast were added. The coffee was then gently washed and placed on raised beds below 35ºC until ideal moisture content was achieved.</t>
  </si>
  <si>
    <t>Washed + (Wine Yeast /  Coconut)</t>
  </si>
  <si>
    <t>This lot was exposed to a dry anaerobic fermentation of 48 hours. During this fermentation stage, coconuts and wine yeast were added. The coffee was then gently washed and placed on raised beds below 35ºC until ideal moisture content was achieved.</t>
  </si>
  <si>
    <t>Washed + (Wine Yeast /  Cocopeach)</t>
  </si>
  <si>
    <t>This lot was exposed to a dry anaerobic fermentation of 48 hours. During this fermentation stage, coco, peach and wine yeast were added. The coffee was then gently washed and placed on raised beds below 35ºC until ideal moisture content was achieved.</t>
  </si>
  <si>
    <t>Washed + Coconut</t>
  </si>
  <si>
    <t>This lot was exposed to a dry anaerobic fermentation of 48 hours. During this fermentation period, coconut was added to the anaerobic environment. The coffee was then gently washed and placed on raised beds below 35ºC until ideal moisture content was achieved.</t>
  </si>
  <si>
    <t>Washed + Sweet Nectar</t>
  </si>
  <si>
    <t>Farm</t>
  </si>
  <si>
    <t>Altitude</t>
  </si>
  <si>
    <t>Temperature</t>
  </si>
  <si>
    <t>Rainfall</t>
  </si>
  <si>
    <t>Soil</t>
  </si>
  <si>
    <t>Location</t>
  </si>
  <si>
    <t>Farmer</t>
  </si>
  <si>
    <t>Farmer History</t>
  </si>
  <si>
    <t xml:space="preserve">text lenght (max 300) </t>
  </si>
  <si>
    <t>El Cañal</t>
  </si>
  <si>
    <t>1650 - 1750</t>
  </si>
  <si>
    <t>16 - 25°C</t>
  </si>
  <si>
    <t>1800 - 2000mm</t>
  </si>
  <si>
    <t>Volcanic Ash</t>
  </si>
  <si>
    <t>nn, nn</t>
  </si>
  <si>
    <t>Albeiro Cordoba</t>
  </si>
  <si>
    <t xml:space="preserve">Farmer Text---- Farmer Text- -- -  Farmer Text ----- Farmer Text --- Farmer Text---- Farmer Text- -- -  Farmer Text ----- Farmer Text  Farmer Text---- Farmer Text- -- -  Farmer Text ----- Farmer Text  Farmer Text---- Farmer Text- -- -  Farmer Text ----- Farmer Text  Farmer Text---- </t>
  </si>
  <si>
    <t>El Despetar</t>
  </si>
  <si>
    <t>1900-1950</t>
  </si>
  <si>
    <t>16 - 21°C</t>
  </si>
  <si>
    <t>1700-2000 mm</t>
  </si>
  <si>
    <t>Buesaco, Narino</t>
  </si>
  <si>
    <t>Albeiro Gomez</t>
  </si>
  <si>
    <t>El Deseo</t>
  </si>
  <si>
    <t>1600 – 1750</t>
  </si>
  <si>
    <t>14-21°C</t>
  </si>
  <si>
    <t>1700-1900 mm</t>
  </si>
  <si>
    <t>Union, Narino</t>
  </si>
  <si>
    <t>Albeiro Munoz</t>
  </si>
  <si>
    <t>El Remanso</t>
  </si>
  <si>
    <t>1850 - 1900</t>
  </si>
  <si>
    <t>16 - 24°C</t>
  </si>
  <si>
    <t>1500 – 1600 mm</t>
  </si>
  <si>
    <t>Planadas, Tolima</t>
  </si>
  <si>
    <t>Albeiro Roa Ipuz</t>
  </si>
  <si>
    <t>Grano de Oro</t>
  </si>
  <si>
    <t>1700 – 1750</t>
  </si>
  <si>
    <t>1900 – 2200 mm</t>
  </si>
  <si>
    <t>Genova, Quindio</t>
  </si>
  <si>
    <t>Alben Santana</t>
  </si>
  <si>
    <t>La Floresta</t>
  </si>
  <si>
    <t>1800-1900</t>
  </si>
  <si>
    <t>19 - 25°C</t>
  </si>
  <si>
    <t>1700-2100 mm</t>
  </si>
  <si>
    <t>Gaitania, Tolima</t>
  </si>
  <si>
    <t>Alberto Ramos</t>
  </si>
  <si>
    <t>La Celosa</t>
  </si>
  <si>
    <t>1500-1650</t>
  </si>
  <si>
    <t>14 - 28°C</t>
  </si>
  <si>
    <t>1600-2000 mm</t>
  </si>
  <si>
    <t>Acevedo, Huila</t>
  </si>
  <si>
    <t>Alberto Soto</t>
  </si>
  <si>
    <t xml:space="preserve">La Muralla </t>
  </si>
  <si>
    <t>1750-1800</t>
  </si>
  <si>
    <t>1800-2000 mm</t>
  </si>
  <si>
    <t>Pitalito, Huila</t>
  </si>
  <si>
    <t xml:space="preserve">Aldemar Quistal </t>
  </si>
  <si>
    <t>La Cumbre</t>
  </si>
  <si>
    <t>Pitalito,Huila</t>
  </si>
  <si>
    <t xml:space="preserve">Alfonso, Molina </t>
  </si>
  <si>
    <t>Las Peñas</t>
  </si>
  <si>
    <t>1700-1800</t>
  </si>
  <si>
    <t>13 - 24°C</t>
  </si>
  <si>
    <t>1900-2200 mm</t>
  </si>
  <si>
    <t>Manta, Cundinamarca</t>
  </si>
  <si>
    <t>Alirio</t>
  </si>
  <si>
    <t>La Mariela</t>
  </si>
  <si>
    <t>15-24°C</t>
  </si>
  <si>
    <t>1900-2200mm</t>
  </si>
  <si>
    <t>Alirio Buitrago</t>
  </si>
  <si>
    <t xml:space="preserve">El Manantial </t>
  </si>
  <si>
    <t>1740 - 1800</t>
  </si>
  <si>
    <t>19 - 26°C</t>
  </si>
  <si>
    <t xml:space="preserve"> 1700-2200 mm</t>
  </si>
  <si>
    <t>Alirio Pecupaque</t>
  </si>
  <si>
    <t xml:space="preserve">Alirio Pecupaque </t>
  </si>
  <si>
    <t>El Cedro</t>
  </si>
  <si>
    <t>1400-1450</t>
  </si>
  <si>
    <t>17 - 26°C</t>
  </si>
  <si>
    <t>1600 – 1800 mm</t>
  </si>
  <si>
    <t>Alirio Rodriguez</t>
  </si>
  <si>
    <t>La Villa Hermosa</t>
  </si>
  <si>
    <t>1700-1900</t>
  </si>
  <si>
    <t>18 - 24°C</t>
  </si>
  <si>
    <t>San Adolfo, Huila</t>
  </si>
  <si>
    <t xml:space="preserve">Alirio Vargas </t>
  </si>
  <si>
    <t>Guacanas</t>
  </si>
  <si>
    <t>1750 - 1800</t>
  </si>
  <si>
    <t>12 - 27°C</t>
  </si>
  <si>
    <t>1900-2000mm</t>
  </si>
  <si>
    <t>Andres Guaca</t>
  </si>
  <si>
    <t>Manantiales del Frontino</t>
  </si>
  <si>
    <t>1800 – 1900</t>
  </si>
  <si>
    <t>18-35°C</t>
  </si>
  <si>
    <t>1700 – 1900 mm</t>
  </si>
  <si>
    <t>Caicedonia, Valle del Cauca</t>
  </si>
  <si>
    <t>Andres Londono</t>
  </si>
  <si>
    <t xml:space="preserve">El Centro </t>
  </si>
  <si>
    <t>14 - 26°C</t>
  </si>
  <si>
    <t>1900-2100 mm</t>
  </si>
  <si>
    <t xml:space="preserve">Andres Mauricio Ramirez </t>
  </si>
  <si>
    <t>El Laguito</t>
  </si>
  <si>
    <t>1500 - 1600</t>
  </si>
  <si>
    <t>2000-2200 mm</t>
  </si>
  <si>
    <t>Volcanic ash</t>
  </si>
  <si>
    <t>Calarca, Quindio</t>
  </si>
  <si>
    <t>Andres Ramirez</t>
  </si>
  <si>
    <t xml:space="preserve">2000 - 2200 mm </t>
  </si>
  <si>
    <t xml:space="preserve">Volcanic Ashes </t>
  </si>
  <si>
    <t xml:space="preserve">Andres Ramirez </t>
  </si>
  <si>
    <t>El Palmichal</t>
  </si>
  <si>
    <t>Atilano Giraldo</t>
  </si>
  <si>
    <t>Paraiso</t>
  </si>
  <si>
    <t xml:space="preserve">1700 - 1750 </t>
  </si>
  <si>
    <t xml:space="preserve">1900 - 2100 mm </t>
  </si>
  <si>
    <t>Clay loam</t>
  </si>
  <si>
    <t>Timana, Huila</t>
  </si>
  <si>
    <t xml:space="preserve">Anselmo Trujillo </t>
  </si>
  <si>
    <t>La Esperanza</t>
  </si>
  <si>
    <t>1900 - 2000</t>
  </si>
  <si>
    <t>1500 – 1800 mm</t>
  </si>
  <si>
    <t>Planadas, Tolima.</t>
  </si>
  <si>
    <t>Argenis Muñoz Cuellar</t>
  </si>
  <si>
    <t>Las Nubes</t>
  </si>
  <si>
    <t>2000 – 2100</t>
  </si>
  <si>
    <t>12 - 22°C</t>
  </si>
  <si>
    <t>Arles Ramirez</t>
  </si>
  <si>
    <t>Villa Sebastian</t>
  </si>
  <si>
    <t>1700-1750</t>
  </si>
  <si>
    <t>Cartago, Nariño</t>
  </si>
  <si>
    <t>Camila Gomez</t>
  </si>
  <si>
    <t>El Topacio</t>
  </si>
  <si>
    <t>1800-1950</t>
  </si>
  <si>
    <t>15 - 22°</t>
  </si>
  <si>
    <t>Carlos Amariles</t>
  </si>
  <si>
    <t>Casa Negra</t>
  </si>
  <si>
    <t>1350 -1400</t>
  </si>
  <si>
    <t>18 - 28°C</t>
  </si>
  <si>
    <t>1800-2600mm</t>
  </si>
  <si>
    <t>Volcanic Ash, Clay loam</t>
  </si>
  <si>
    <t>Armenia, Quindio</t>
  </si>
  <si>
    <t>Carlos Arcila</t>
  </si>
  <si>
    <t>La Constancia</t>
  </si>
  <si>
    <t>18 - 30°C</t>
  </si>
  <si>
    <t>1800 - 1600 mm</t>
  </si>
  <si>
    <t>Volcanic Ashes, Clay loam</t>
  </si>
  <si>
    <t>Castellon</t>
  </si>
  <si>
    <t>1550-2000</t>
  </si>
  <si>
    <t>15-25°C</t>
  </si>
  <si>
    <t>1600-2200mm</t>
  </si>
  <si>
    <t>Circasia, Quindio</t>
  </si>
  <si>
    <t>La Pradera</t>
  </si>
  <si>
    <t>1400 -1450</t>
  </si>
  <si>
    <t>La Ilusion</t>
  </si>
  <si>
    <t>14 - 21°C</t>
  </si>
  <si>
    <t>Carlos Estrella</t>
  </si>
  <si>
    <t>El Balso</t>
  </si>
  <si>
    <t>1500-1600</t>
  </si>
  <si>
    <t>Buenavista, Quindio</t>
  </si>
  <si>
    <t>Carlos Fandino</t>
  </si>
  <si>
    <t>La Ladera</t>
  </si>
  <si>
    <t>1300-1600 mm</t>
  </si>
  <si>
    <t>Carlos Rodriguez</t>
  </si>
  <si>
    <t>La Esmeralda</t>
  </si>
  <si>
    <t>15 – 24°C</t>
  </si>
  <si>
    <t>Cesar Buesaquillo</t>
  </si>
  <si>
    <t xml:space="preserve">La Luna </t>
  </si>
  <si>
    <t>1800 – 1850</t>
  </si>
  <si>
    <t>14 - 24°C</t>
  </si>
  <si>
    <t>1700 – 2000 mm</t>
  </si>
  <si>
    <t>La Union, Nariño</t>
  </si>
  <si>
    <t xml:space="preserve">Ciro Hermoso </t>
  </si>
  <si>
    <t>La Isabela</t>
  </si>
  <si>
    <t>1300 - 1320</t>
  </si>
  <si>
    <t>13 - 25°C</t>
  </si>
  <si>
    <t>1600 – 2000 mm</t>
  </si>
  <si>
    <t>Armenia,Quindio</t>
  </si>
  <si>
    <t>Daniel Correal</t>
  </si>
  <si>
    <t>La Bandida</t>
  </si>
  <si>
    <t>1500 – 1900 mm</t>
  </si>
  <si>
    <t xml:space="preserve">Daniel Cuellar </t>
  </si>
  <si>
    <t xml:space="preserve">La Divisa </t>
  </si>
  <si>
    <t>1600 -2000</t>
  </si>
  <si>
    <t>16 - 24 °C</t>
  </si>
  <si>
    <t>Diofanor Ruiz</t>
  </si>
  <si>
    <t>Buena Vista</t>
  </si>
  <si>
    <t>1600 -1700</t>
  </si>
  <si>
    <t>Las Flores</t>
  </si>
  <si>
    <t>1700-2000</t>
  </si>
  <si>
    <t>1600 - 2000 mm</t>
  </si>
  <si>
    <t>San Isidro, Huila</t>
  </si>
  <si>
    <t>Edilberto Vergara</t>
  </si>
  <si>
    <t>La Pola</t>
  </si>
  <si>
    <t>1400 - 1450</t>
  </si>
  <si>
    <t>1800 - 2100mm</t>
  </si>
  <si>
    <t>Eduardo Posada</t>
  </si>
  <si>
    <t>La Albania</t>
  </si>
  <si>
    <t>1680 -1750</t>
  </si>
  <si>
    <t>1900 - 2100 mm</t>
  </si>
  <si>
    <t>Ely Hueje</t>
  </si>
  <si>
    <t xml:space="preserve">El Edin </t>
  </si>
  <si>
    <t>18 - 23°C</t>
  </si>
  <si>
    <t>1800 - 2200mm</t>
  </si>
  <si>
    <t>Bruselas, Huila</t>
  </si>
  <si>
    <t>Eriberto Gomez</t>
  </si>
  <si>
    <t>La Perla</t>
  </si>
  <si>
    <t>1630 - 1800</t>
  </si>
  <si>
    <t xml:space="preserve"> 1700 - 2200 mm</t>
  </si>
  <si>
    <t>Volcanis Ashes, Clay Loam</t>
  </si>
  <si>
    <t>Ever Silva</t>
  </si>
  <si>
    <t>Jardines del Encanto</t>
  </si>
  <si>
    <t>1750 - 2150</t>
  </si>
  <si>
    <t>12 - 28°C</t>
  </si>
  <si>
    <t>Pijao, Quindio</t>
  </si>
  <si>
    <t>Felipe Arcila</t>
  </si>
  <si>
    <t>Jardines Del Eden</t>
  </si>
  <si>
    <t>El Rubi</t>
  </si>
  <si>
    <t>1700 - 1900</t>
  </si>
  <si>
    <t>1900-2000 mm</t>
  </si>
  <si>
    <t xml:space="preserve">Palestina , Huila </t>
  </si>
  <si>
    <t>Felipe Henao</t>
  </si>
  <si>
    <t>La America</t>
  </si>
  <si>
    <t>1855 - 1900</t>
  </si>
  <si>
    <t>Felipe Perez</t>
  </si>
  <si>
    <t xml:space="preserve">Los Olivos </t>
  </si>
  <si>
    <t>1830 - 1900</t>
  </si>
  <si>
    <t>Floralba Apio</t>
  </si>
  <si>
    <t>El Pastal</t>
  </si>
  <si>
    <t>16 – 24°C</t>
  </si>
  <si>
    <t>Francisco Florez</t>
  </si>
  <si>
    <t>Loma Linda</t>
  </si>
  <si>
    <t>1850 -1900</t>
  </si>
  <si>
    <t>1500 - 1800 mm</t>
  </si>
  <si>
    <t>Buesaco, Nariño</t>
  </si>
  <si>
    <t>Franco Chavez</t>
  </si>
  <si>
    <t xml:space="preserve">La Cabana </t>
  </si>
  <si>
    <t>1800 – 2000 mm</t>
  </si>
  <si>
    <t>Gilberto Perez</t>
  </si>
  <si>
    <t>El Bosque</t>
  </si>
  <si>
    <t>1900-1970 MASL</t>
  </si>
  <si>
    <t>Gonzalo Cifuentes</t>
  </si>
  <si>
    <t>Puerto Bello</t>
  </si>
  <si>
    <t>1500 - 1900</t>
  </si>
  <si>
    <t>1900 - 2000mm</t>
  </si>
  <si>
    <t>Gonzalo Uribe</t>
  </si>
  <si>
    <t>San Juan</t>
  </si>
  <si>
    <t>1500 - 1550</t>
  </si>
  <si>
    <t>Buenavista, Quindio.</t>
  </si>
  <si>
    <t>Guillermo Naranjo</t>
  </si>
  <si>
    <t>Monteverde</t>
  </si>
  <si>
    <t>1500 - 1800</t>
  </si>
  <si>
    <t>16 - 22°C</t>
  </si>
  <si>
    <t>Herrera, Tolima</t>
  </si>
  <si>
    <t>Gutierrez Family</t>
  </si>
  <si>
    <t>El Paraiso</t>
  </si>
  <si>
    <t>Harold Benavidez</t>
  </si>
  <si>
    <t>La Suiza</t>
  </si>
  <si>
    <t>1650 – 2000</t>
  </si>
  <si>
    <t>18-23°C</t>
  </si>
  <si>
    <t>Hector Zuniga</t>
  </si>
  <si>
    <t>Los Deseos</t>
  </si>
  <si>
    <t>Heider Estrella</t>
  </si>
  <si>
    <t>El Filo</t>
  </si>
  <si>
    <t>1900-1970</t>
  </si>
  <si>
    <t>Hermilson Cardenas</t>
  </si>
  <si>
    <t>La Cristalina</t>
  </si>
  <si>
    <t>1349 -1400</t>
  </si>
  <si>
    <t>17 - 28°C</t>
  </si>
  <si>
    <t>Hernando Arcila</t>
  </si>
  <si>
    <t>La Glorieta</t>
  </si>
  <si>
    <t>Los Guayabos</t>
  </si>
  <si>
    <t>Buenos Aires</t>
  </si>
  <si>
    <t>1200-1700</t>
  </si>
  <si>
    <t>14-30°C</t>
  </si>
  <si>
    <t>1700-2200 mm</t>
  </si>
  <si>
    <t>El Cielo</t>
  </si>
  <si>
    <t>17 - 24°C</t>
  </si>
  <si>
    <t>Pichinde, Valle del Cauca</t>
  </si>
  <si>
    <t>Holguin Family</t>
  </si>
  <si>
    <t>La Inmaculada</t>
  </si>
  <si>
    <t>1800-2000</t>
  </si>
  <si>
    <t>La Llanura</t>
  </si>
  <si>
    <t>Humberto Moreno</t>
  </si>
  <si>
    <t>El Diamante</t>
  </si>
  <si>
    <t>Humberto Pecupaque</t>
  </si>
  <si>
    <t>La Palmera</t>
  </si>
  <si>
    <t>1500-1800</t>
  </si>
  <si>
    <t>Anserma, Caldas</t>
  </si>
  <si>
    <t>Ignacio Rodriguez</t>
  </si>
  <si>
    <t>Jairo Arcila</t>
  </si>
  <si>
    <t>Maracay</t>
  </si>
  <si>
    <t>18-30°C</t>
  </si>
  <si>
    <t>Mazatlan</t>
  </si>
  <si>
    <t>18-29°C</t>
  </si>
  <si>
    <t>Santa Mónica</t>
  </si>
  <si>
    <t xml:space="preserve">1450 - 1500 </t>
  </si>
  <si>
    <t>18 - 28 °C</t>
  </si>
  <si>
    <t>1800 - 2000 mm</t>
  </si>
  <si>
    <t>La Leona</t>
  </si>
  <si>
    <t>Villarazo</t>
  </si>
  <si>
    <t>El Roble</t>
  </si>
  <si>
    <t>1600 - 1650</t>
  </si>
  <si>
    <t>20 - 26°C</t>
  </si>
  <si>
    <t>2000 - 2300mm</t>
  </si>
  <si>
    <t>Jairo Ivan Lopez</t>
  </si>
  <si>
    <t>El Vergel</t>
  </si>
  <si>
    <t>1600-1800</t>
  </si>
  <si>
    <t>12 - 26°C</t>
  </si>
  <si>
    <t>1700-2300 mm</t>
  </si>
  <si>
    <t>2100 - 2300mm</t>
  </si>
  <si>
    <t>La Estrella</t>
  </si>
  <si>
    <t>1600 - 1800</t>
  </si>
  <si>
    <t>1700 - 2400 mm</t>
  </si>
  <si>
    <t>Pijao,Quindio</t>
  </si>
  <si>
    <t>La Argentina</t>
  </si>
  <si>
    <t>1600 - 1700</t>
  </si>
  <si>
    <t>15 – 25°C</t>
  </si>
  <si>
    <t>Jamilton Guaraca</t>
  </si>
  <si>
    <t>El Libano</t>
  </si>
  <si>
    <t>1600-1650</t>
  </si>
  <si>
    <t>Javier Rubio</t>
  </si>
  <si>
    <t>El Sueño</t>
  </si>
  <si>
    <t>Buesaco Narino</t>
  </si>
  <si>
    <t>Jesus Adrian Pajajoy</t>
  </si>
  <si>
    <t>La Secreta</t>
  </si>
  <si>
    <t>Jhon Fabio Monsalve</t>
  </si>
  <si>
    <t xml:space="preserve">Las Flores </t>
  </si>
  <si>
    <t>1750 – 2000 mm</t>
  </si>
  <si>
    <t xml:space="preserve">Clay loam </t>
  </si>
  <si>
    <t xml:space="preserve">Pitalito, Huila </t>
  </si>
  <si>
    <t>Johan Vergara</t>
  </si>
  <si>
    <t>1800 - 1950</t>
  </si>
  <si>
    <t>2050 – 2100 mm</t>
  </si>
  <si>
    <t>John Jairo Rodriguez</t>
  </si>
  <si>
    <t>Jhon Serna</t>
  </si>
  <si>
    <t>El Jardin</t>
  </si>
  <si>
    <t>Jorge Rojas</t>
  </si>
  <si>
    <t>1400-2150</t>
  </si>
  <si>
    <t>15 - 25°C</t>
  </si>
  <si>
    <t>El Peñon</t>
  </si>
  <si>
    <t>1740 - 1850</t>
  </si>
  <si>
    <t>Ataco, Tolima</t>
  </si>
  <si>
    <t>Jose Antonio Yara</t>
  </si>
  <si>
    <t>El Rosal</t>
  </si>
  <si>
    <t>2000 - 2100</t>
  </si>
  <si>
    <t>16 – 22°C</t>
  </si>
  <si>
    <t>Jose Miller Valderrama</t>
  </si>
  <si>
    <t>Los Laureles</t>
  </si>
  <si>
    <t>19 - 24°C</t>
  </si>
  <si>
    <t>1800-2200 mm</t>
  </si>
  <si>
    <t>Jose Ramiro Quilcue</t>
  </si>
  <si>
    <t>1700 -1900</t>
  </si>
  <si>
    <t>Nariño</t>
  </si>
  <si>
    <t>Jose Gomez</t>
  </si>
  <si>
    <t>1800 - 1900</t>
  </si>
  <si>
    <t>Juan Alejandro</t>
  </si>
  <si>
    <t>El Canal</t>
  </si>
  <si>
    <t>16 - 25 °C</t>
  </si>
  <si>
    <t>Ciudad,Departamento</t>
  </si>
  <si>
    <t>Juan Ardila Londoño</t>
  </si>
  <si>
    <t>La Julia</t>
  </si>
  <si>
    <t>1350 - 1450</t>
  </si>
  <si>
    <t>El Lujan</t>
  </si>
  <si>
    <t>1900 - 1950</t>
  </si>
  <si>
    <t>1200 – 1700 mm</t>
  </si>
  <si>
    <t>Juan Cabrera</t>
  </si>
  <si>
    <t>El Pomo</t>
  </si>
  <si>
    <t>1800-1850</t>
  </si>
  <si>
    <t xml:space="preserve">Julian Hernandez </t>
  </si>
  <si>
    <t>El Descanso</t>
  </si>
  <si>
    <t>Julio Cortez</t>
  </si>
  <si>
    <t>La Cortina de Hierro</t>
  </si>
  <si>
    <t>Leonid Ramirez</t>
  </si>
  <si>
    <t>Las Brisas</t>
  </si>
  <si>
    <t>1500-1550</t>
  </si>
  <si>
    <t>Lisandro Cardenas</t>
  </si>
  <si>
    <t>Pedregal</t>
  </si>
  <si>
    <t>900 - 1200</t>
  </si>
  <si>
    <t>27 - 36 °C</t>
  </si>
  <si>
    <t xml:space="preserve">2000 - 3000 mm </t>
  </si>
  <si>
    <t>Lucia Fernandez Perez</t>
  </si>
  <si>
    <t>San Felipe</t>
  </si>
  <si>
    <t>15 - 24°C</t>
  </si>
  <si>
    <t xml:space="preserve"> 2000-2200 mm</t>
  </si>
  <si>
    <t>Luis Alberto</t>
  </si>
  <si>
    <t>La Granja</t>
  </si>
  <si>
    <t>Luis Aldana</t>
  </si>
  <si>
    <t>Villa Betulia</t>
  </si>
  <si>
    <t>1700 - 2000mm</t>
  </si>
  <si>
    <t>Luis Anibal Calderon</t>
  </si>
  <si>
    <t>1501 - 1600</t>
  </si>
  <si>
    <t>1701 - 2000mm</t>
  </si>
  <si>
    <t>Arley Calderon</t>
  </si>
  <si>
    <t>El Brillante</t>
  </si>
  <si>
    <t xml:space="preserve">1680 - 1750 </t>
  </si>
  <si>
    <t>Luis Fernando Toro</t>
  </si>
  <si>
    <t>Villaroa</t>
  </si>
  <si>
    <t>1150-1200</t>
  </si>
  <si>
    <t>Quindio</t>
  </si>
  <si>
    <t>Luis Miguel Diaz</t>
  </si>
  <si>
    <t>La Guaca</t>
  </si>
  <si>
    <t>1300 - 1400</t>
  </si>
  <si>
    <t>23 - 30 °C</t>
  </si>
  <si>
    <t>1400 - 1900 mm</t>
  </si>
  <si>
    <t>Luis Perez Velez</t>
  </si>
  <si>
    <t>2000 - 2200</t>
  </si>
  <si>
    <t>12 - 21 °C</t>
  </si>
  <si>
    <t>1500 - 2100 mm</t>
  </si>
  <si>
    <t>Porvenir</t>
  </si>
  <si>
    <t xml:space="preserve">Luis Orlando Sanchez </t>
  </si>
  <si>
    <t>Luz Helena Salazar</t>
  </si>
  <si>
    <t>1450 -1500</t>
  </si>
  <si>
    <t>El Oasis</t>
  </si>
  <si>
    <t>19 - 35°C</t>
  </si>
  <si>
    <t>1500-2100 mm</t>
  </si>
  <si>
    <t>Luz Mila Gonzales</t>
  </si>
  <si>
    <t>El Guavito</t>
  </si>
  <si>
    <t>14-28°C</t>
  </si>
  <si>
    <t>1500-1800 mm</t>
  </si>
  <si>
    <t>Manuel Esteban Bueno</t>
  </si>
  <si>
    <t>La Laguna</t>
  </si>
  <si>
    <t>1600-1700</t>
  </si>
  <si>
    <t>Marco Ramos</t>
  </si>
  <si>
    <t>Rivadavia</t>
  </si>
  <si>
    <t>Maria Teresa Salazar</t>
  </si>
  <si>
    <t>Los Pinos</t>
  </si>
  <si>
    <t>1500-1670</t>
  </si>
  <si>
    <t>El Diviso</t>
  </si>
  <si>
    <t>Maria del Rocio</t>
  </si>
  <si>
    <t>Mirolindo</t>
  </si>
  <si>
    <t>1600 – 1700 mm</t>
  </si>
  <si>
    <t>Maria del Rosario</t>
  </si>
  <si>
    <t>Mayorca</t>
  </si>
  <si>
    <t>1200 - 1300</t>
  </si>
  <si>
    <t>1900 - 2200</t>
  </si>
  <si>
    <t>Marcela Castellanos</t>
  </si>
  <si>
    <t>El Recuerdo</t>
  </si>
  <si>
    <t>Marleny Cifuentes</t>
  </si>
  <si>
    <t>El Balcero</t>
  </si>
  <si>
    <t>1800 - 1850</t>
  </si>
  <si>
    <t>2050–2100 mm</t>
  </si>
  <si>
    <t>Marleny Olaya</t>
  </si>
  <si>
    <t>El Capricho</t>
  </si>
  <si>
    <t>Marta Arcila</t>
  </si>
  <si>
    <t xml:space="preserve">La Piedra </t>
  </si>
  <si>
    <t>Melkyn Chavez</t>
  </si>
  <si>
    <t>El Otono</t>
  </si>
  <si>
    <t>19 - 27°C</t>
  </si>
  <si>
    <t>Miguel Dominguez</t>
  </si>
  <si>
    <t>Nectario Zuñiga</t>
  </si>
  <si>
    <t>El Altico</t>
  </si>
  <si>
    <t xml:space="preserve">El Eden </t>
  </si>
  <si>
    <t>Nelson Hurtado</t>
  </si>
  <si>
    <t>17-21°C</t>
  </si>
  <si>
    <t>1600-2100 mm</t>
  </si>
  <si>
    <t>Norbey Quimbayo</t>
  </si>
  <si>
    <t>Las Delicias</t>
  </si>
  <si>
    <t>Oporapa, Huila</t>
  </si>
  <si>
    <t xml:space="preserve">Omar Guzman </t>
  </si>
  <si>
    <t>La Flor</t>
  </si>
  <si>
    <t>Omar Saul Tapiero</t>
  </si>
  <si>
    <t>Los Nogales</t>
  </si>
  <si>
    <t>Oscar Hernandez</t>
  </si>
  <si>
    <t>Entre Vias</t>
  </si>
  <si>
    <t>1541 - 1600</t>
  </si>
  <si>
    <t>Oswaldo Rojas</t>
  </si>
  <si>
    <t>El Obraje</t>
  </si>
  <si>
    <t>2100 - 2200</t>
  </si>
  <si>
    <t>11 – 25°C</t>
  </si>
  <si>
    <t>Tangua, Nariño</t>
  </si>
  <si>
    <t>Pablo Guerrero</t>
  </si>
  <si>
    <t>La Maria</t>
  </si>
  <si>
    <t>1200-1750</t>
  </si>
  <si>
    <t>Pastor Ceron</t>
  </si>
  <si>
    <t>Mikava</t>
  </si>
  <si>
    <t>2000 - 2050</t>
  </si>
  <si>
    <t>13 - 22°C</t>
  </si>
  <si>
    <t>Santuario, Huila</t>
  </si>
  <si>
    <t>Paul Doyle</t>
  </si>
  <si>
    <t>20 - 25 °C</t>
  </si>
  <si>
    <t>1200 - 1400 mm</t>
  </si>
  <si>
    <t>Pedro Arango Vasco</t>
  </si>
  <si>
    <t>La Princesa</t>
  </si>
  <si>
    <t>1800 - 2100</t>
  </si>
  <si>
    <t>Tablon de gomez, Nariño</t>
  </si>
  <si>
    <t>Pedro Ortega</t>
  </si>
  <si>
    <t>El Guamo</t>
  </si>
  <si>
    <t>Piedad Martinez</t>
  </si>
  <si>
    <t>La Montana</t>
  </si>
  <si>
    <t>18 - 25°C</t>
  </si>
  <si>
    <t>1500-1900 mm</t>
  </si>
  <si>
    <t>Rafael Amaya</t>
  </si>
  <si>
    <t>La Virginia</t>
  </si>
  <si>
    <t>El Encanto</t>
  </si>
  <si>
    <t>13 - 29°C</t>
  </si>
  <si>
    <t>1600-2200 mm</t>
  </si>
  <si>
    <t>Manzanares, Caldas</t>
  </si>
  <si>
    <t>Ramiro Bermudez</t>
  </si>
  <si>
    <t>1450-1500</t>
  </si>
  <si>
    <t>Cacedonia, Valle del Cauca</t>
  </si>
  <si>
    <t>Santiago Londoño</t>
  </si>
  <si>
    <t>Sebastian Gomez</t>
  </si>
  <si>
    <t>Cauca</t>
  </si>
  <si>
    <t>1350 - 1700</t>
  </si>
  <si>
    <t>19 - 30 °C</t>
  </si>
  <si>
    <t>1800 - 2100 mm</t>
  </si>
  <si>
    <t>Volcanic Ashe, Clay loam</t>
  </si>
  <si>
    <t>Popayan,Cauca</t>
  </si>
  <si>
    <t>Several Coffee Growers</t>
  </si>
  <si>
    <t>Several farms A</t>
  </si>
  <si>
    <t xml:space="preserve">1350 - 1800 mm </t>
  </si>
  <si>
    <t xml:space="preserve">Cajamarca </t>
  </si>
  <si>
    <t>Small Coffee Growers A</t>
  </si>
  <si>
    <t>Several farms B</t>
  </si>
  <si>
    <t>Amazonas</t>
  </si>
  <si>
    <t xml:space="preserve">Small Coffee Growers B </t>
  </si>
  <si>
    <t>Several farms C</t>
  </si>
  <si>
    <t>Small Growers (Fruit Bomb)</t>
  </si>
  <si>
    <t>El Congal</t>
  </si>
  <si>
    <t>Tulio Adarme</t>
  </si>
  <si>
    <t>El Danubio</t>
  </si>
  <si>
    <t>Uber Quintero</t>
  </si>
  <si>
    <t>El Mirador</t>
  </si>
  <si>
    <t>1600 - 2030</t>
  </si>
  <si>
    <t>Victor Gutierrez</t>
  </si>
  <si>
    <t>El Tesoro</t>
  </si>
  <si>
    <t>Victor Herrera</t>
  </si>
  <si>
    <t>Las Terrazas</t>
  </si>
  <si>
    <t xml:space="preserve">1900 - 1950 </t>
  </si>
  <si>
    <t>14 - 25°C</t>
  </si>
  <si>
    <t xml:space="preserve">Clay Loam </t>
  </si>
  <si>
    <t xml:space="preserve">La Argentina , Huila </t>
  </si>
  <si>
    <t>Wbeimar Lasso</t>
  </si>
  <si>
    <t>San Adolfo - Huila</t>
  </si>
  <si>
    <t>Wilder Lasso</t>
  </si>
  <si>
    <t>Wilder Lazo</t>
  </si>
  <si>
    <t>Las Lomas</t>
  </si>
  <si>
    <t>William Martinez</t>
  </si>
  <si>
    <t>La Estacion</t>
  </si>
  <si>
    <t>Balboa, Cauca</t>
  </si>
  <si>
    <t>William Zuniga</t>
  </si>
  <si>
    <t>Alto Sano</t>
  </si>
  <si>
    <t>Wilmar Velez</t>
  </si>
  <si>
    <t>La Soledad</t>
  </si>
  <si>
    <t>Wilson Cardenas</t>
  </si>
  <si>
    <t>La Riviera</t>
  </si>
  <si>
    <t>1700 - 1850</t>
  </si>
  <si>
    <t>17 - 20°C</t>
  </si>
  <si>
    <t>Risaralda</t>
  </si>
  <si>
    <t>Villa Mercedes</t>
  </si>
  <si>
    <t>1700 - 1780</t>
  </si>
  <si>
    <t>La Plata, Huila</t>
  </si>
  <si>
    <t>El Carrisal</t>
  </si>
  <si>
    <t>1700-1850</t>
  </si>
  <si>
    <t>Jaime Alvarez</t>
  </si>
  <si>
    <t>San Agustin, Huila</t>
  </si>
  <si>
    <t>Aldemiro Sambony</t>
  </si>
  <si>
    <t>Rafael Henao</t>
  </si>
  <si>
    <t>Dora Dilia Muñoz</t>
  </si>
  <si>
    <t>El Trapiche</t>
  </si>
  <si>
    <t>Nazario Realpe</t>
  </si>
  <si>
    <t>El Guarango</t>
  </si>
  <si>
    <t>Carmen Jansasoy</t>
  </si>
  <si>
    <t>Angosturas</t>
  </si>
  <si>
    <t>Gloria Amparo Zapata</t>
  </si>
  <si>
    <t>-</t>
  </si>
  <si>
    <t>James Rubiel Chavez</t>
  </si>
  <si>
    <t>Bolivar Gomez</t>
  </si>
  <si>
    <t>La Cabaña</t>
  </si>
  <si>
    <t>1900-2000</t>
  </si>
  <si>
    <t>15 - 23°C</t>
  </si>
  <si>
    <t>Garzon, Huila</t>
  </si>
  <si>
    <t>Danilo Perez</t>
  </si>
  <si>
    <t>Jose Muñoz</t>
  </si>
  <si>
    <t>Eduardo Urquina</t>
  </si>
  <si>
    <t>Tablon de Gomez, Nariño</t>
  </si>
  <si>
    <t>Fernando Adarme</t>
  </si>
  <si>
    <t>Albeiro Granada</t>
  </si>
  <si>
    <t>El Cielito</t>
  </si>
  <si>
    <t>2000-2050</t>
  </si>
  <si>
    <t>11 - 25°C</t>
  </si>
  <si>
    <t>Aponte, Nariño</t>
  </si>
  <si>
    <t>Juan Adarme</t>
  </si>
  <si>
    <t>La Lunita</t>
  </si>
  <si>
    <t>Ubeimar Urbano</t>
  </si>
  <si>
    <t>Jannier Rodriguez</t>
  </si>
  <si>
    <t>Alier Bolaños</t>
  </si>
  <si>
    <t>El Resplandor</t>
  </si>
  <si>
    <t>Raul Rodriguez</t>
  </si>
  <si>
    <t>La Roma</t>
  </si>
  <si>
    <t>Emanuel Encizo</t>
  </si>
  <si>
    <t>La Loma</t>
  </si>
  <si>
    <t>Antolino Ramos</t>
  </si>
  <si>
    <t>Santa Fe</t>
  </si>
  <si>
    <t>Nubia Loaiza</t>
  </si>
  <si>
    <t>Angelo Zapata</t>
  </si>
  <si>
    <t>Tres Cruces</t>
  </si>
  <si>
    <t>Wilmar Matoma</t>
  </si>
  <si>
    <t>Betania</t>
  </si>
  <si>
    <t>Linarco Rodriguez</t>
  </si>
  <si>
    <t>Antonio Parra</t>
  </si>
  <si>
    <t>La Primavera</t>
  </si>
  <si>
    <t>Humberto Calderon</t>
  </si>
  <si>
    <t>Loma Gorda</t>
  </si>
  <si>
    <t>Orlando Zambrano</t>
  </si>
  <si>
    <t>Agua Dulce</t>
  </si>
  <si>
    <t>1950-2100</t>
  </si>
  <si>
    <t>15 - 28°C</t>
  </si>
  <si>
    <t>Jesus Muñoz</t>
  </si>
  <si>
    <t xml:space="preserve">1300-1450 </t>
  </si>
  <si>
    <t>16 - 28°C</t>
  </si>
  <si>
    <t>1400-1500 mm</t>
  </si>
  <si>
    <t>Barcelona, Quindio</t>
  </si>
  <si>
    <t>Arturo Arango</t>
  </si>
  <si>
    <t xml:space="preserve">La Bonita </t>
  </si>
  <si>
    <t>Algeciras, Huila</t>
  </si>
  <si>
    <t>Rogelio Espinoza</t>
  </si>
  <si>
    <t>1600 – 1700</t>
  </si>
  <si>
    <t>Inza, Cauca</t>
  </si>
  <si>
    <t>Javier Quintero</t>
  </si>
  <si>
    <t>La Holanda</t>
  </si>
  <si>
    <t>1750-1780</t>
  </si>
  <si>
    <t>Manuel Dagua</t>
  </si>
  <si>
    <t>Berlin</t>
  </si>
  <si>
    <t>Aneth Choconta</t>
  </si>
  <si>
    <t>Oso Frontino</t>
  </si>
  <si>
    <t>Esperanza Fajardo</t>
  </si>
  <si>
    <t>1800– 1900</t>
  </si>
  <si>
    <t>1701 – 1900 mm</t>
  </si>
  <si>
    <t>Olga Muñoz</t>
  </si>
  <si>
    <t>Ruby Urbano</t>
  </si>
  <si>
    <t>La Molienda</t>
  </si>
  <si>
    <t>Benjamin Gilberto Rivera</t>
  </si>
  <si>
    <t>El Nido</t>
  </si>
  <si>
    <t>Kenedy Lopez Ceron</t>
  </si>
  <si>
    <t>La Brisas</t>
  </si>
  <si>
    <t>Bryan Smith</t>
  </si>
  <si>
    <t xml:space="preserve">San Pedro </t>
  </si>
  <si>
    <t>Albeiro Lugo</t>
  </si>
  <si>
    <t>El Triunfo</t>
  </si>
  <si>
    <t>1650-1800</t>
  </si>
  <si>
    <t>15 - 26°C</t>
  </si>
  <si>
    <t>Tello, Huila</t>
  </si>
  <si>
    <t>Martin Emilio</t>
  </si>
  <si>
    <t>Alven Santana</t>
  </si>
  <si>
    <t>Patio Bonito</t>
  </si>
  <si>
    <t>1570 – 1650</t>
  </si>
  <si>
    <t>Caldono, Cauca</t>
  </si>
  <si>
    <t xml:space="preserve">Paola Trujillo </t>
  </si>
  <si>
    <t>El Saman</t>
  </si>
  <si>
    <t>1500 -1600</t>
  </si>
  <si>
    <t>Jaime Zuluaga</t>
  </si>
  <si>
    <t>Auricel Ramirez</t>
  </si>
  <si>
    <t>El Ocaso</t>
  </si>
  <si>
    <t>Salento, Quindio</t>
  </si>
  <si>
    <t>Santiago Patiño</t>
  </si>
  <si>
    <t>Villa Alejandría</t>
  </si>
  <si>
    <t>La Argentina, Huila</t>
  </si>
  <si>
    <t>Ivan Villaquira</t>
  </si>
  <si>
    <t>La Castellana</t>
  </si>
  <si>
    <t>Virginia Salazar</t>
  </si>
  <si>
    <t>El Arrayan</t>
  </si>
  <si>
    <t>1650- 1720</t>
  </si>
  <si>
    <t>Adaiber Peña</t>
  </si>
  <si>
    <t xml:space="preserve">El suspiro </t>
  </si>
  <si>
    <t xml:space="preserve">Ricardo Lizcano </t>
  </si>
  <si>
    <t>15- 26°C</t>
  </si>
  <si>
    <t>Iquira, Huila</t>
  </si>
  <si>
    <t>Jorge Osorio</t>
  </si>
  <si>
    <t>El Silencio</t>
  </si>
  <si>
    <t>15 - 27°C</t>
  </si>
  <si>
    <t>Urrao, Antioquia</t>
  </si>
  <si>
    <t>Alex Metrio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</si>
</sst>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b/>
      <sz val="11"/>
      <color rgb="FF000000"/>
      <name val="Calibri"/>
      <family val="2"/>
    </font>
    <font>
      <b/>
      <sz val="10"/>
      <color theme="1"/>
      <name val="Arial"/>
      <family val="2"/>
    </font>
    <font>
      <sz val="10"/>
      <color theme="1"/>
      <name val="Arial"/>
      <family val="2"/>
    </font>
    <font>
      <sz val="10"/>
      <color rgb="FF000000"/>
      <name val="Arial"/>
      <family val="2"/>
    </font>
    <font>
      <sz val="11"/>
      <color rgb="FF000000"/>
      <name val="Calibri"/>
      <family val="2"/>
    </font>
    <font>
      <sz val="11"/>
      <color theme="1"/>
      <name val="Calibri"/>
      <family val="2"/>
    </font>
  </fonts>
  <fills count="10">
    <fill>
      <patternFill patternType="none"/>
    </fill>
    <fill>
      <patternFill patternType="gray125"/>
    </fill>
    <fill>
      <patternFill patternType="solid">
        <fgColor rgb="FFFFFFFF"/>
        <bgColor rgb="FFFFFFFF"/>
      </patternFill>
    </fill>
    <fill>
      <patternFill patternType="solid">
        <fgColor rgb="FF93C47D"/>
        <bgColor rgb="FF93C47D"/>
      </patternFill>
    </fill>
    <fill>
      <patternFill patternType="solid">
        <fgColor rgb="FFD9E6FC"/>
        <bgColor rgb="FFD9E6FC"/>
      </patternFill>
    </fill>
    <fill>
      <patternFill patternType="solid">
        <fgColor rgb="FF6AA84F"/>
        <bgColor rgb="FF6AA84F"/>
      </patternFill>
    </fill>
    <fill>
      <patternFill patternType="solid">
        <fgColor rgb="FFFFD966"/>
        <bgColor rgb="FFFFD966"/>
      </patternFill>
    </fill>
    <fill>
      <patternFill patternType="solid">
        <fgColor rgb="FFF1C232"/>
        <bgColor rgb="FFF1C232"/>
      </patternFill>
    </fill>
    <fill>
      <patternFill patternType="solid">
        <fgColor rgb="FFB6D7A8"/>
        <bgColor rgb="FFB6D7A8"/>
      </patternFill>
    </fill>
    <fill>
      <patternFill patternType="solid">
        <fgColor rgb="FFC9DAF8"/>
        <bgColor rgb="FFC9DAF8"/>
      </patternFill>
    </fill>
  </fills>
  <borders count="11">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s>
  <cellStyleXfs count="1">
    <xf numFmtId="0" fontId="0" fillId="0" borderId="0"/>
  </cellStyleXfs>
  <cellXfs count="44">
    <xf numFmtId="0" fontId="0" fillId="0" borderId="0" xfId="0"/>
    <xf numFmtId="0" fontId="1" fillId="0" borderId="1" xfId="0" applyFont="1" applyBorder="1"/>
    <xf numFmtId="0" fontId="1" fillId="0" borderId="2" xfId="0" applyFont="1" applyBorder="1" applyAlignment="1">
      <alignment vertical="center" wrapText="1"/>
    </xf>
    <xf numFmtId="0" fontId="2" fillId="0" borderId="2" xfId="0" applyFont="1" applyBorder="1"/>
    <xf numFmtId="0" fontId="2" fillId="0" borderId="3" xfId="0" applyFont="1" applyBorder="1"/>
    <xf numFmtId="0" fontId="2" fillId="0" borderId="4" xfId="0" applyFont="1" applyBorder="1"/>
    <xf numFmtId="0" fontId="3" fillId="0" borderId="4" xfId="0" applyFont="1" applyBorder="1"/>
    <xf numFmtId="0" fontId="3" fillId="0" borderId="5" xfId="0" applyFont="1" applyBorder="1"/>
    <xf numFmtId="0" fontId="4" fillId="0" borderId="4" xfId="0" applyFont="1" applyBorder="1" applyAlignment="1">
      <alignment vertical="center" wrapText="1"/>
    </xf>
    <xf numFmtId="0" fontId="3" fillId="0" borderId="6" xfId="0" applyFont="1" applyBorder="1"/>
    <xf numFmtId="0" fontId="5" fillId="0" borderId="5" xfId="0" applyFont="1" applyBorder="1" applyAlignment="1">
      <alignment vertical="center"/>
    </xf>
    <xf numFmtId="0" fontId="5" fillId="0" borderId="4" xfId="0" applyFont="1" applyBorder="1" applyAlignment="1">
      <alignment vertical="center" wrapText="1"/>
    </xf>
    <xf numFmtId="0" fontId="3" fillId="0" borderId="5" xfId="0" applyFont="1" applyBorder="1" applyAlignment="1">
      <alignment vertical="center"/>
    </xf>
    <xf numFmtId="0" fontId="5" fillId="2" borderId="4" xfId="0" applyFont="1" applyFill="1" applyBorder="1" applyAlignment="1">
      <alignment vertical="center" wrapText="1"/>
    </xf>
    <xf numFmtId="0" fontId="4" fillId="0" borderId="5" xfId="0" applyFont="1" applyBorder="1"/>
    <xf numFmtId="0" fontId="4" fillId="0" borderId="7" xfId="0" applyFont="1" applyBorder="1"/>
    <xf numFmtId="0" fontId="4" fillId="0" borderId="8" xfId="0" applyFont="1" applyBorder="1" applyAlignment="1">
      <alignment vertical="center" wrapText="1"/>
    </xf>
    <xf numFmtId="0" fontId="3" fillId="0" borderId="9" xfId="0" applyFont="1" applyBorder="1"/>
    <xf numFmtId="0" fontId="4" fillId="0" borderId="4" xfId="0" applyFont="1" applyBorder="1"/>
    <xf numFmtId="0" fontId="4" fillId="2" borderId="4" xfId="0" applyFont="1" applyFill="1" applyBorder="1"/>
    <xf numFmtId="0" fontId="1" fillId="0" borderId="0" xfId="0" applyFont="1"/>
    <xf numFmtId="0" fontId="3" fillId="0" borderId="0" xfId="0" applyFont="1"/>
    <xf numFmtId="0" fontId="5" fillId="3" borderId="10" xfId="0" applyFont="1" applyFill="1" applyBorder="1"/>
    <xf numFmtId="0" fontId="3" fillId="0" borderId="0" xfId="0" applyFont="1" applyAlignment="1">
      <alignment vertical="top" wrapText="1"/>
    </xf>
    <xf numFmtId="0" fontId="6" fillId="0" borderId="0" xfId="0" applyFont="1" applyAlignment="1">
      <alignment wrapText="1"/>
    </xf>
    <xf numFmtId="0" fontId="5" fillId="4" borderId="10" xfId="0" applyFont="1" applyFill="1" applyBorder="1" applyAlignment="1">
      <alignment horizontal="left"/>
    </xf>
    <xf numFmtId="0" fontId="3" fillId="0" borderId="0" xfId="0" applyFont="1" applyAlignment="1">
      <alignment wrapText="1"/>
    </xf>
    <xf numFmtId="0" fontId="5" fillId="5" borderId="10" xfId="0" applyFont="1" applyFill="1" applyBorder="1"/>
    <xf numFmtId="0" fontId="3" fillId="4" borderId="10" xfId="0" applyFont="1" applyFill="1" applyBorder="1" applyAlignment="1">
      <alignment wrapText="1"/>
    </xf>
    <xf numFmtId="0" fontId="5" fillId="0" borderId="0" xfId="0" applyFont="1" applyAlignment="1">
      <alignment wrapText="1"/>
    </xf>
    <xf numFmtId="0" fontId="5" fillId="4" borderId="10" xfId="0" applyFont="1" applyFill="1" applyBorder="1" applyAlignment="1">
      <alignment wrapText="1"/>
    </xf>
    <xf numFmtId="0" fontId="3" fillId="6" borderId="10" xfId="0" applyFont="1" applyFill="1" applyBorder="1"/>
    <xf numFmtId="0" fontId="3" fillId="7" borderId="10" xfId="0" applyFont="1" applyFill="1" applyBorder="1"/>
    <xf numFmtId="0" fontId="5" fillId="8" borderId="10" xfId="0" applyFont="1" applyFill="1" applyBorder="1"/>
    <xf numFmtId="0" fontId="4" fillId="0" borderId="0" xfId="0" applyFont="1" applyAlignment="1">
      <alignment wrapText="1"/>
    </xf>
    <xf numFmtId="0" fontId="2" fillId="0" borderId="0" xfId="0" applyFont="1"/>
    <xf numFmtId="0" fontId="3" fillId="4" borderId="10" xfId="0" applyFont="1" applyFill="1" applyBorder="1"/>
    <xf numFmtId="0" fontId="4" fillId="2" borderId="10" xfId="0" applyFont="1" applyFill="1" applyBorder="1" applyAlignment="1">
      <alignment horizontal="left"/>
    </xf>
    <xf numFmtId="0" fontId="5" fillId="0" borderId="0" xfId="0" applyFont="1"/>
    <xf numFmtId="0" fontId="3" fillId="0" borderId="0" xfId="0" applyFont="1" applyAlignment="1">
      <alignment horizontal="left"/>
    </xf>
    <xf numFmtId="0" fontId="4" fillId="4" borderId="10" xfId="0" applyFont="1" applyFill="1" applyBorder="1" applyAlignment="1">
      <alignment horizontal="left"/>
    </xf>
    <xf numFmtId="0" fontId="3" fillId="4" borderId="10" xfId="0" applyFont="1" applyFill="1" applyBorder="1" applyAlignment="1">
      <alignment horizontal="left"/>
    </xf>
    <xf numFmtId="0" fontId="3" fillId="9" borderId="10" xfId="0" applyFont="1" applyFill="1" applyBorder="1"/>
    <xf numFmtId="0" fontId="3" fillId="4" borderId="0" xfId="0" applyFont="1" applyFill="1"/>
  </cellXfs>
  <cellStyles count="1">
    <cellStyle name="Normal" xfId="0" builtinId="0"/>
  </cellStyles>
  <dxfs count="15">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D9E6FC"/>
          <bgColor rgb="FFD9E6FC"/>
        </patternFill>
      </fill>
    </dxf>
    <dxf>
      <fill>
        <patternFill patternType="solid">
          <fgColor rgb="FFD9E6FC"/>
          <bgColor rgb="FFD9E6FC"/>
        </patternFill>
      </fill>
    </dxf>
    <dxf>
      <fill>
        <patternFill patternType="solid">
          <fgColor rgb="FFD9E6FC"/>
          <bgColor rgb="FFD9E6FC"/>
        </patternFill>
      </fill>
    </dxf>
    <dxf>
      <fill>
        <patternFill patternType="solid">
          <fgColor rgb="FFD9E6FC"/>
          <bgColor rgb="FFD9E6FC"/>
        </patternFill>
      </fill>
    </dxf>
    <dxf>
      <fill>
        <patternFill patternType="solid">
          <fgColor rgb="FFD9E6FC"/>
          <bgColor rgb="FFD9E6FC"/>
        </patternFill>
      </fill>
    </dxf>
    <dxf>
      <fill>
        <patternFill patternType="solid">
          <fgColor rgb="FFD9E6FC"/>
          <bgColor rgb="FFD9E6FC"/>
        </patternFill>
      </fill>
    </dxf>
    <dxf>
      <fill>
        <patternFill patternType="solid">
          <fgColor theme="4"/>
          <bgColor theme="4"/>
        </patternFill>
      </fill>
    </dxf>
    <dxf>
      <fill>
        <patternFill patternType="solid">
          <fgColor rgb="FFD9E6FC"/>
          <bgColor rgb="FFD9E6FC"/>
        </patternFill>
      </fill>
    </dxf>
    <dxf>
      <fill>
        <patternFill patternType="solid">
          <fgColor rgb="FFD9E6FC"/>
          <bgColor rgb="FFD9E6FC"/>
        </patternFill>
      </fill>
    </dxf>
    <dxf>
      <fill>
        <patternFill patternType="solid">
          <fgColor theme="4"/>
          <bgColor theme="4"/>
        </patternFill>
      </fill>
    </dxf>
    <dxf>
      <fill>
        <patternFill patternType="solid">
          <fgColor rgb="FFD9E6FC"/>
          <bgColor rgb="FFD9E6FC"/>
        </patternFill>
      </fill>
    </dxf>
    <dxf>
      <fill>
        <patternFill patternType="solid">
          <fgColor rgb="FFD9E6FC"/>
          <bgColor rgb="FFD9E6FC"/>
        </patternFill>
      </fill>
    </dxf>
    <dxf>
      <fill>
        <patternFill patternType="solid">
          <fgColor theme="4"/>
          <bgColor theme="4"/>
        </patternFill>
      </fill>
    </dxf>
  </dxfs>
  <tableStyles count="5">
    <tableStyle name="Varietal-style" pivot="0" count="3" xr9:uid="{00000000-0011-0000-FFFF-FFFF00000000}">
      <tableStyleElement type="headerRow" dxfId="14"/>
      <tableStyleElement type="firstRowStripe" dxfId="13"/>
      <tableStyleElement type="secondRowStripe" dxfId="12"/>
    </tableStyle>
    <tableStyle name="Process-style" pivot="0" count="3" xr9:uid="{00000000-0011-0000-FFFF-FFFF01000000}">
      <tableStyleElement type="headerRow" dxfId="11"/>
      <tableStyleElement type="firstRowStripe" dxfId="10"/>
      <tableStyleElement type="secondRowStripe" dxfId="9"/>
    </tableStyle>
    <tableStyle name="Farmer-style" pivot="0" count="3" xr9:uid="{00000000-0011-0000-FFFF-FFFF02000000}">
      <tableStyleElement type="headerRow" dxfId="8"/>
      <tableStyleElement type="firstRowStripe" dxfId="7"/>
      <tableStyleElement type="secondRowStripe" dxfId="6"/>
    </tableStyle>
    <tableStyle name="Farmer-style 2" pivot="0" count="2" xr9:uid="{00000000-0011-0000-FFFF-FFFF03000000}">
      <tableStyleElement type="firstRowStripe" dxfId="5"/>
      <tableStyleElement type="secondRowStripe" dxfId="4"/>
    </tableStyle>
    <tableStyle name="Farmer-style 3" pivot="0" count="2" xr9:uid="{00000000-0011-0000-FFFF-FFFF04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51">
  <tableColumns count="5">
    <tableColumn id="1" xr3:uid="{00000000-0010-0000-0000-000001000000}" name="Varietal"/>
    <tableColumn id="2" xr3:uid="{00000000-0010-0000-0000-000002000000}" name="Text"/>
    <tableColumn id="3" xr3:uid="{00000000-0010-0000-0000-000003000000}" name="Category"/>
    <tableColumn id="4" xr3:uid="{00000000-0010-0000-0000-000004000000}" name="text lenght max(300)"/>
    <tableColumn id="5" xr3:uid="{00000000-0010-0000-0000-000005000000}" name="Tane"/>
  </tableColumns>
  <tableStyleInfo name="Variet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124">
  <tableColumns count="3">
    <tableColumn id="1" xr3:uid="{00000000-0010-0000-0100-000001000000}" name="Process"/>
    <tableColumn id="2" xr3:uid="{00000000-0010-0000-0100-000002000000}" name="Text"/>
    <tableColumn id="3" xr3:uid="{00000000-0010-0000-0100-000003000000}" name="text_lenght (max 330)"/>
  </tableColumns>
  <tableStyleInfo name="Proces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I207">
  <autoFilter ref="A1:I207" xr:uid="{00000000-000C-0000-FFFF-FFFF02000000}"/>
  <tableColumns count="9">
    <tableColumn id="1" xr3:uid="{00000000-0010-0000-0200-000001000000}" name="Farm"/>
    <tableColumn id="2" xr3:uid="{00000000-0010-0000-0200-000002000000}" name="Altitude"/>
    <tableColumn id="3" xr3:uid="{00000000-0010-0000-0200-000003000000}" name="Temperature"/>
    <tableColumn id="4" xr3:uid="{00000000-0010-0000-0200-000004000000}" name="Rainfall"/>
    <tableColumn id="5" xr3:uid="{00000000-0010-0000-0200-000005000000}" name="Soil"/>
    <tableColumn id="6" xr3:uid="{00000000-0010-0000-0200-000006000000}" name="Location"/>
    <tableColumn id="7" xr3:uid="{00000000-0010-0000-0200-000007000000}" name="Farmer"/>
    <tableColumn id="8" xr3:uid="{00000000-0010-0000-0200-000008000000}" name="Farmer History"/>
    <tableColumn id="9" xr3:uid="{00000000-0010-0000-0200-000009000000}" name="text lenght (max 300) "/>
  </tableColumns>
  <tableStyleInfo name="Farm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D208:F215" headerRowCount="0">
  <tableColumns count="3">
    <tableColumn id="1" xr3:uid="{00000000-0010-0000-0300-000001000000}" name="Column1"/>
    <tableColumn id="2" xr3:uid="{00000000-0010-0000-0300-000002000000}" name="Column2"/>
    <tableColumn id="3" xr3:uid="{00000000-0010-0000-0300-000003000000}" name="Column3"/>
  </tableColumns>
  <tableStyleInfo name="Farmer-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9:F223" headerRowCount="0">
  <tableColumns count="6">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s>
  <tableStyleInfo name="Farmer-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3"/>
  <sheetViews>
    <sheetView workbookViewId="0">
      <pane ySplit="1" topLeftCell="A2" activePane="bottomLeft" state="frozen"/>
      <selection pane="bottomLeft" activeCell="A2" sqref="A2"/>
    </sheetView>
  </sheetViews>
  <sheetFormatPr defaultColWidth="12.7109375" defaultRowHeight="15" customHeight="1"/>
  <cols>
    <col min="1" max="1" width="36" customWidth="1"/>
    <col min="2" max="2" width="57.42578125" customWidth="1"/>
    <col min="3" max="3" width="15.85546875" customWidth="1"/>
    <col min="4" max="4" width="19.42578125" customWidth="1"/>
    <col min="5" max="27" width="12.42578125" customWidth="1"/>
  </cols>
  <sheetData>
    <row r="1" spans="1:27" ht="15.75" customHeight="1">
      <c r="A1" s="1" t="s">
        <v>0</v>
      </c>
      <c r="B1" s="2" t="s">
        <v>1</v>
      </c>
      <c r="C1" s="3" t="s">
        <v>2</v>
      </c>
      <c r="D1" s="4" t="s">
        <v>3</v>
      </c>
      <c r="E1" s="5" t="s">
        <v>4</v>
      </c>
      <c r="F1" s="6"/>
      <c r="G1" s="6"/>
      <c r="H1" s="6"/>
      <c r="I1" s="6"/>
      <c r="J1" s="6"/>
      <c r="K1" s="6"/>
      <c r="L1" s="6"/>
      <c r="M1" s="6"/>
      <c r="N1" s="6"/>
      <c r="O1" s="6"/>
      <c r="P1" s="6"/>
      <c r="Q1" s="6"/>
      <c r="R1" s="6"/>
      <c r="S1" s="6"/>
      <c r="T1" s="6"/>
      <c r="U1" s="6"/>
      <c r="V1" s="6"/>
      <c r="W1" s="6"/>
      <c r="X1" s="6"/>
      <c r="Y1" s="6"/>
      <c r="Z1" s="6"/>
      <c r="AA1" s="6"/>
    </row>
    <row r="2" spans="1:27" ht="60.75" customHeight="1">
      <c r="A2" s="7" t="s">
        <v>5</v>
      </c>
      <c r="B2" s="8" t="s">
        <v>6</v>
      </c>
      <c r="C2" s="6" t="s">
        <v>7</v>
      </c>
      <c r="D2" s="9">
        <f t="shared" ref="D2:D22" si="0">+LEN(B2)</f>
        <v>181</v>
      </c>
      <c r="E2" s="6" t="s">
        <v>8</v>
      </c>
      <c r="F2" s="6"/>
      <c r="G2" s="6"/>
      <c r="H2" s="6"/>
      <c r="I2" s="6"/>
      <c r="J2" s="6"/>
      <c r="K2" s="6"/>
      <c r="L2" s="6"/>
      <c r="M2" s="6"/>
      <c r="N2" s="6"/>
      <c r="O2" s="6"/>
      <c r="P2" s="6"/>
      <c r="Q2" s="6"/>
      <c r="R2" s="6"/>
      <c r="S2" s="6"/>
      <c r="T2" s="6"/>
      <c r="U2" s="6"/>
      <c r="V2" s="6"/>
      <c r="W2" s="6"/>
      <c r="X2" s="6"/>
      <c r="Y2" s="6"/>
      <c r="Z2" s="6"/>
      <c r="AA2" s="6"/>
    </row>
    <row r="3" spans="1:27" ht="87" customHeight="1">
      <c r="A3" s="10" t="s">
        <v>9</v>
      </c>
      <c r="B3" s="8" t="s">
        <v>10</v>
      </c>
      <c r="C3" s="6" t="s">
        <v>7</v>
      </c>
      <c r="D3" s="9">
        <f t="shared" si="0"/>
        <v>423</v>
      </c>
      <c r="E3" s="6"/>
      <c r="F3" s="6"/>
      <c r="G3" s="6"/>
      <c r="H3" s="6"/>
      <c r="I3" s="6"/>
      <c r="J3" s="6"/>
      <c r="K3" s="6"/>
      <c r="L3" s="6"/>
      <c r="M3" s="6"/>
      <c r="N3" s="6"/>
      <c r="O3" s="6"/>
      <c r="P3" s="6"/>
      <c r="Q3" s="6"/>
      <c r="R3" s="6"/>
      <c r="S3" s="6"/>
      <c r="T3" s="6"/>
      <c r="U3" s="6"/>
      <c r="V3" s="6"/>
      <c r="W3" s="6"/>
      <c r="X3" s="6"/>
      <c r="Y3" s="6"/>
      <c r="Z3" s="6"/>
      <c r="AA3" s="6"/>
    </row>
    <row r="4" spans="1:27" ht="69.75" customHeight="1">
      <c r="A4" s="10" t="s">
        <v>11</v>
      </c>
      <c r="B4" s="11" t="s">
        <v>12</v>
      </c>
      <c r="C4" s="6" t="s">
        <v>7</v>
      </c>
      <c r="D4" s="9">
        <f t="shared" si="0"/>
        <v>367</v>
      </c>
      <c r="E4" s="6" t="s">
        <v>8</v>
      </c>
      <c r="F4" s="6"/>
      <c r="G4" s="6"/>
      <c r="H4" s="6"/>
      <c r="I4" s="6"/>
      <c r="J4" s="6"/>
      <c r="K4" s="6"/>
      <c r="L4" s="6"/>
      <c r="M4" s="6"/>
      <c r="N4" s="6"/>
      <c r="O4" s="6"/>
      <c r="P4" s="6"/>
      <c r="Q4" s="6"/>
      <c r="R4" s="6"/>
      <c r="S4" s="6"/>
      <c r="T4" s="6"/>
      <c r="U4" s="6"/>
      <c r="V4" s="6"/>
      <c r="W4" s="6"/>
      <c r="X4" s="6"/>
      <c r="Y4" s="6"/>
      <c r="Z4" s="6"/>
      <c r="AA4" s="6"/>
    </row>
    <row r="5" spans="1:27" ht="43.15">
      <c r="A5" s="10" t="s">
        <v>13</v>
      </c>
      <c r="B5" s="11" t="s">
        <v>14</v>
      </c>
      <c r="C5" s="6" t="s">
        <v>15</v>
      </c>
      <c r="D5" s="9">
        <f t="shared" si="0"/>
        <v>165</v>
      </c>
      <c r="E5" s="6" t="s">
        <v>8</v>
      </c>
      <c r="F5" s="6"/>
      <c r="G5" s="6"/>
      <c r="H5" s="6"/>
      <c r="I5" s="6"/>
      <c r="J5" s="6"/>
      <c r="K5" s="6"/>
      <c r="L5" s="6"/>
      <c r="M5" s="6"/>
      <c r="N5" s="6"/>
      <c r="O5" s="6"/>
      <c r="P5" s="6"/>
      <c r="Q5" s="6"/>
      <c r="R5" s="6"/>
      <c r="S5" s="6"/>
      <c r="T5" s="6"/>
      <c r="U5" s="6"/>
      <c r="V5" s="6"/>
      <c r="W5" s="6"/>
      <c r="X5" s="6"/>
      <c r="Y5" s="6"/>
      <c r="Z5" s="6"/>
      <c r="AA5" s="6"/>
    </row>
    <row r="6" spans="1:27" ht="43.15">
      <c r="A6" s="12" t="s">
        <v>16</v>
      </c>
      <c r="B6" s="11" t="s">
        <v>17</v>
      </c>
      <c r="C6" s="6" t="s">
        <v>15</v>
      </c>
      <c r="D6" s="9">
        <f t="shared" si="0"/>
        <v>193</v>
      </c>
      <c r="E6" s="6" t="s">
        <v>8</v>
      </c>
      <c r="F6" s="6"/>
      <c r="G6" s="6"/>
      <c r="H6" s="6"/>
      <c r="I6" s="6"/>
      <c r="J6" s="6"/>
      <c r="K6" s="6"/>
      <c r="L6" s="6"/>
      <c r="M6" s="6"/>
      <c r="N6" s="6"/>
      <c r="O6" s="6"/>
      <c r="P6" s="6"/>
      <c r="Q6" s="6"/>
      <c r="R6" s="6"/>
      <c r="S6" s="6"/>
      <c r="T6" s="6"/>
      <c r="U6" s="6"/>
      <c r="V6" s="6"/>
      <c r="W6" s="6"/>
      <c r="X6" s="6"/>
      <c r="Y6" s="6"/>
      <c r="Z6" s="6"/>
      <c r="AA6" s="6"/>
    </row>
    <row r="7" spans="1:27" ht="26.45">
      <c r="A7" s="7" t="s">
        <v>18</v>
      </c>
      <c r="B7" s="8" t="s">
        <v>19</v>
      </c>
      <c r="C7" s="6" t="s">
        <v>7</v>
      </c>
      <c r="D7" s="9">
        <f t="shared" si="0"/>
        <v>128</v>
      </c>
      <c r="E7" s="6" t="s">
        <v>8</v>
      </c>
      <c r="F7" s="6"/>
      <c r="G7" s="6"/>
      <c r="H7" s="6"/>
      <c r="I7" s="6"/>
      <c r="J7" s="6"/>
      <c r="K7" s="6"/>
      <c r="L7" s="6"/>
      <c r="M7" s="6"/>
      <c r="N7" s="6"/>
      <c r="O7" s="6"/>
      <c r="P7" s="6"/>
      <c r="Q7" s="6"/>
      <c r="R7" s="6"/>
      <c r="S7" s="6"/>
      <c r="T7" s="6"/>
      <c r="U7" s="6"/>
      <c r="V7" s="6"/>
      <c r="W7" s="6"/>
      <c r="X7" s="6"/>
      <c r="Y7" s="6"/>
      <c r="Z7" s="6"/>
      <c r="AA7" s="6"/>
    </row>
    <row r="8" spans="1:27" ht="53.25" customHeight="1">
      <c r="A8" s="10" t="s">
        <v>20</v>
      </c>
      <c r="B8" s="11" t="s">
        <v>21</v>
      </c>
      <c r="C8" s="6" t="s">
        <v>15</v>
      </c>
      <c r="D8" s="9">
        <f t="shared" si="0"/>
        <v>203</v>
      </c>
      <c r="E8" s="6" t="s">
        <v>8</v>
      </c>
      <c r="F8" s="6"/>
      <c r="G8" s="6"/>
      <c r="H8" s="6"/>
      <c r="I8" s="6"/>
      <c r="J8" s="6"/>
      <c r="K8" s="6"/>
      <c r="L8" s="6"/>
      <c r="M8" s="6"/>
      <c r="N8" s="6"/>
      <c r="O8" s="6"/>
      <c r="P8" s="6"/>
      <c r="Q8" s="6"/>
      <c r="R8" s="6"/>
      <c r="S8" s="6"/>
      <c r="T8" s="6"/>
      <c r="U8" s="6"/>
      <c r="V8" s="6"/>
      <c r="W8" s="6"/>
      <c r="X8" s="6"/>
      <c r="Y8" s="6"/>
      <c r="Z8" s="6"/>
      <c r="AA8" s="6"/>
    </row>
    <row r="9" spans="1:27" ht="66">
      <c r="A9" s="7" t="s">
        <v>22</v>
      </c>
      <c r="B9" s="8" t="s">
        <v>23</v>
      </c>
      <c r="C9" s="6" t="s">
        <v>7</v>
      </c>
      <c r="D9" s="9">
        <f t="shared" si="0"/>
        <v>342</v>
      </c>
      <c r="E9" s="6" t="s">
        <v>8</v>
      </c>
      <c r="F9" s="6"/>
      <c r="G9" s="6"/>
      <c r="H9" s="6"/>
      <c r="I9" s="6"/>
      <c r="J9" s="6"/>
      <c r="K9" s="6"/>
      <c r="L9" s="6"/>
      <c r="M9" s="6"/>
      <c r="N9" s="6"/>
      <c r="O9" s="6"/>
      <c r="P9" s="6"/>
      <c r="Q9" s="6"/>
      <c r="R9" s="6"/>
      <c r="S9" s="6"/>
      <c r="T9" s="6"/>
      <c r="U9" s="6"/>
      <c r="V9" s="6"/>
      <c r="W9" s="6"/>
      <c r="X9" s="6"/>
      <c r="Y9" s="6"/>
      <c r="Z9" s="6"/>
      <c r="AA9" s="6"/>
    </row>
    <row r="10" spans="1:27" ht="39" customHeight="1">
      <c r="A10" s="7" t="s">
        <v>24</v>
      </c>
      <c r="B10" s="8" t="s">
        <v>25</v>
      </c>
      <c r="C10" s="6" t="s">
        <v>15</v>
      </c>
      <c r="D10" s="9">
        <f t="shared" si="0"/>
        <v>288</v>
      </c>
      <c r="E10" s="6" t="s">
        <v>8</v>
      </c>
      <c r="F10" s="6"/>
      <c r="G10" s="6"/>
      <c r="H10" s="6"/>
      <c r="I10" s="6"/>
      <c r="J10" s="6"/>
      <c r="K10" s="6"/>
      <c r="L10" s="6"/>
      <c r="M10" s="6"/>
      <c r="N10" s="6"/>
      <c r="O10" s="6"/>
      <c r="P10" s="6"/>
      <c r="Q10" s="6"/>
      <c r="R10" s="6"/>
      <c r="S10" s="6"/>
      <c r="T10" s="6"/>
      <c r="U10" s="6"/>
      <c r="V10" s="6"/>
      <c r="W10" s="6"/>
      <c r="X10" s="6"/>
      <c r="Y10" s="6"/>
      <c r="Z10" s="6"/>
      <c r="AA10" s="6"/>
    </row>
    <row r="11" spans="1:27" ht="39" customHeight="1">
      <c r="A11" s="7" t="s">
        <v>26</v>
      </c>
      <c r="B11" s="8" t="s">
        <v>27</v>
      </c>
      <c r="C11" s="6" t="s">
        <v>7</v>
      </c>
      <c r="D11" s="9">
        <f t="shared" si="0"/>
        <v>243</v>
      </c>
      <c r="E11" s="6" t="s">
        <v>8</v>
      </c>
      <c r="F11" s="6"/>
      <c r="G11" s="6"/>
      <c r="H11" s="6"/>
      <c r="I11" s="6"/>
      <c r="J11" s="6"/>
      <c r="K11" s="6"/>
      <c r="L11" s="6"/>
      <c r="M11" s="6"/>
      <c r="N11" s="6"/>
      <c r="O11" s="6"/>
      <c r="P11" s="6"/>
      <c r="Q11" s="6"/>
      <c r="R11" s="6"/>
      <c r="S11" s="6"/>
      <c r="T11" s="6"/>
      <c r="U11" s="6"/>
      <c r="V11" s="6"/>
      <c r="W11" s="6"/>
      <c r="X11" s="6"/>
      <c r="Y11" s="6"/>
      <c r="Z11" s="6"/>
      <c r="AA11" s="6"/>
    </row>
    <row r="12" spans="1:27" ht="52.9">
      <c r="A12" s="7" t="s">
        <v>28</v>
      </c>
      <c r="B12" s="8" t="s">
        <v>29</v>
      </c>
      <c r="C12" s="6" t="s">
        <v>7</v>
      </c>
      <c r="D12" s="9">
        <f t="shared" si="0"/>
        <v>227</v>
      </c>
      <c r="E12" s="6" t="s">
        <v>8</v>
      </c>
      <c r="F12" s="6"/>
      <c r="G12" s="6"/>
      <c r="H12" s="6"/>
      <c r="I12" s="6"/>
      <c r="J12" s="6"/>
      <c r="K12" s="6"/>
      <c r="L12" s="6"/>
      <c r="M12" s="6"/>
      <c r="N12" s="6"/>
      <c r="O12" s="6"/>
      <c r="P12" s="6"/>
      <c r="Q12" s="6"/>
      <c r="R12" s="6"/>
      <c r="S12" s="6"/>
      <c r="T12" s="6"/>
      <c r="U12" s="6"/>
      <c r="V12" s="6"/>
      <c r="W12" s="6"/>
      <c r="X12" s="6"/>
      <c r="Y12" s="6"/>
      <c r="Z12" s="6"/>
      <c r="AA12" s="6"/>
    </row>
    <row r="13" spans="1:27" ht="13.15">
      <c r="A13" s="7" t="s">
        <v>30</v>
      </c>
      <c r="B13" s="8" t="s">
        <v>31</v>
      </c>
      <c r="C13" s="6" t="s">
        <v>15</v>
      </c>
      <c r="D13" s="9">
        <f t="shared" si="0"/>
        <v>36</v>
      </c>
      <c r="E13" s="6" t="s">
        <v>8</v>
      </c>
      <c r="F13" s="6"/>
      <c r="G13" s="6"/>
      <c r="H13" s="6"/>
      <c r="I13" s="6"/>
      <c r="J13" s="6"/>
      <c r="K13" s="6"/>
      <c r="L13" s="6"/>
      <c r="M13" s="6"/>
      <c r="N13" s="6"/>
      <c r="O13" s="6"/>
      <c r="P13" s="6"/>
      <c r="Q13" s="6"/>
      <c r="R13" s="6"/>
      <c r="S13" s="6"/>
      <c r="T13" s="6"/>
      <c r="U13" s="6"/>
      <c r="V13" s="6"/>
      <c r="W13" s="6"/>
      <c r="X13" s="6"/>
      <c r="Y13" s="6"/>
      <c r="Z13" s="6"/>
      <c r="AA13" s="6"/>
    </row>
    <row r="14" spans="1:27" ht="39.6">
      <c r="A14" s="10" t="s">
        <v>32</v>
      </c>
      <c r="B14" s="8" t="s">
        <v>33</v>
      </c>
      <c r="C14" s="6" t="s">
        <v>15</v>
      </c>
      <c r="D14" s="9">
        <f t="shared" si="0"/>
        <v>175</v>
      </c>
      <c r="E14" s="6" t="s">
        <v>8</v>
      </c>
      <c r="F14" s="6"/>
      <c r="G14" s="6"/>
      <c r="H14" s="6"/>
      <c r="I14" s="6"/>
      <c r="J14" s="6"/>
      <c r="K14" s="6"/>
      <c r="L14" s="6"/>
      <c r="M14" s="6"/>
      <c r="N14" s="6"/>
      <c r="O14" s="6"/>
      <c r="P14" s="6"/>
      <c r="Q14" s="6"/>
      <c r="R14" s="6"/>
      <c r="S14" s="6"/>
      <c r="T14" s="6"/>
      <c r="U14" s="6"/>
      <c r="V14" s="6"/>
      <c r="W14" s="6"/>
      <c r="X14" s="6"/>
      <c r="Y14" s="6"/>
      <c r="Z14" s="6"/>
      <c r="AA14" s="6"/>
    </row>
    <row r="15" spans="1:27" ht="39.6">
      <c r="A15" s="10" t="s">
        <v>34</v>
      </c>
      <c r="B15" s="8" t="s">
        <v>33</v>
      </c>
      <c r="C15" s="6" t="s">
        <v>7</v>
      </c>
      <c r="D15" s="9">
        <f t="shared" si="0"/>
        <v>175</v>
      </c>
      <c r="E15" s="6" t="s">
        <v>8</v>
      </c>
      <c r="F15" s="6"/>
      <c r="G15" s="6"/>
      <c r="H15" s="6"/>
      <c r="I15" s="6"/>
      <c r="J15" s="6"/>
      <c r="K15" s="6"/>
      <c r="L15" s="6"/>
      <c r="M15" s="6"/>
      <c r="N15" s="6"/>
      <c r="O15" s="6"/>
      <c r="P15" s="6"/>
      <c r="Q15" s="6"/>
      <c r="R15" s="6"/>
      <c r="S15" s="6"/>
      <c r="T15" s="6"/>
      <c r="U15" s="6"/>
      <c r="V15" s="6"/>
      <c r="W15" s="6"/>
      <c r="X15" s="6"/>
      <c r="Y15" s="6"/>
      <c r="Z15" s="6"/>
      <c r="AA15" s="6"/>
    </row>
    <row r="16" spans="1:27" ht="86.45">
      <c r="A16" s="7" t="s">
        <v>35</v>
      </c>
      <c r="B16" s="13" t="s">
        <v>36</v>
      </c>
      <c r="C16" s="6" t="s">
        <v>7</v>
      </c>
      <c r="D16" s="9">
        <f t="shared" si="0"/>
        <v>349</v>
      </c>
      <c r="E16" s="6"/>
      <c r="F16" s="6"/>
      <c r="G16" s="6"/>
      <c r="H16" s="6"/>
      <c r="I16" s="6"/>
      <c r="J16" s="6"/>
      <c r="K16" s="6"/>
      <c r="L16" s="6"/>
      <c r="M16" s="6"/>
      <c r="N16" s="6"/>
      <c r="O16" s="6"/>
      <c r="P16" s="6"/>
      <c r="Q16" s="6"/>
      <c r="R16" s="6"/>
      <c r="S16" s="6"/>
      <c r="T16" s="6"/>
      <c r="U16" s="6"/>
      <c r="V16" s="6"/>
      <c r="W16" s="6"/>
      <c r="X16" s="6"/>
      <c r="Y16" s="6"/>
      <c r="Z16" s="6"/>
      <c r="AA16" s="6"/>
    </row>
    <row r="17" spans="1:27" ht="57.6">
      <c r="A17" s="7" t="s">
        <v>37</v>
      </c>
      <c r="B17" s="13" t="s">
        <v>38</v>
      </c>
      <c r="C17" s="6" t="s">
        <v>7</v>
      </c>
      <c r="D17" s="9">
        <f t="shared" si="0"/>
        <v>245</v>
      </c>
      <c r="E17" s="6" t="s">
        <v>8</v>
      </c>
      <c r="F17" s="6"/>
      <c r="G17" s="6"/>
      <c r="H17" s="6"/>
      <c r="I17" s="6"/>
      <c r="J17" s="6"/>
      <c r="K17" s="6"/>
      <c r="L17" s="6"/>
      <c r="M17" s="6"/>
      <c r="N17" s="6"/>
      <c r="O17" s="6"/>
      <c r="P17" s="6"/>
      <c r="Q17" s="6"/>
      <c r="R17" s="6"/>
      <c r="S17" s="6"/>
      <c r="T17" s="6"/>
      <c r="U17" s="6"/>
      <c r="V17" s="6"/>
      <c r="W17" s="6"/>
      <c r="X17" s="6"/>
      <c r="Y17" s="6"/>
      <c r="Z17" s="6"/>
      <c r="AA17" s="6"/>
    </row>
    <row r="18" spans="1:27" ht="43.15">
      <c r="A18" s="7" t="s">
        <v>39</v>
      </c>
      <c r="B18" s="13" t="s">
        <v>40</v>
      </c>
      <c r="C18" s="6" t="s">
        <v>7</v>
      </c>
      <c r="D18" s="9">
        <f t="shared" si="0"/>
        <v>161</v>
      </c>
      <c r="E18" s="6" t="s">
        <v>8</v>
      </c>
      <c r="F18" s="6"/>
      <c r="G18" s="6"/>
      <c r="H18" s="6"/>
      <c r="I18" s="6"/>
      <c r="J18" s="6"/>
      <c r="K18" s="6"/>
      <c r="L18" s="6"/>
      <c r="M18" s="6"/>
      <c r="N18" s="6"/>
      <c r="O18" s="6"/>
      <c r="P18" s="6"/>
      <c r="Q18" s="6"/>
      <c r="R18" s="6"/>
      <c r="S18" s="6"/>
      <c r="T18" s="6"/>
      <c r="U18" s="6"/>
      <c r="V18" s="6"/>
      <c r="W18" s="6"/>
      <c r="X18" s="6"/>
      <c r="Y18" s="6"/>
      <c r="Z18" s="6"/>
      <c r="AA18" s="6"/>
    </row>
    <row r="19" spans="1:27" ht="57.6">
      <c r="A19" s="7" t="s">
        <v>41</v>
      </c>
      <c r="B19" s="13" t="s">
        <v>42</v>
      </c>
      <c r="C19" s="6" t="s">
        <v>7</v>
      </c>
      <c r="D19" s="9">
        <f t="shared" si="0"/>
        <v>177</v>
      </c>
      <c r="E19" s="6" t="s">
        <v>8</v>
      </c>
      <c r="F19" s="6"/>
      <c r="G19" s="6"/>
      <c r="H19" s="6"/>
      <c r="I19" s="6"/>
      <c r="J19" s="6"/>
      <c r="K19" s="6"/>
      <c r="L19" s="6"/>
      <c r="M19" s="6"/>
      <c r="N19" s="6"/>
      <c r="O19" s="6"/>
      <c r="P19" s="6"/>
      <c r="Q19" s="6"/>
      <c r="R19" s="6"/>
      <c r="S19" s="6"/>
      <c r="T19" s="6"/>
      <c r="U19" s="6"/>
      <c r="V19" s="6"/>
      <c r="W19" s="6"/>
      <c r="X19" s="6"/>
      <c r="Y19" s="6"/>
      <c r="Z19" s="6"/>
      <c r="AA19" s="6"/>
    </row>
    <row r="20" spans="1:27" ht="14.45">
      <c r="A20" s="7" t="s">
        <v>43</v>
      </c>
      <c r="B20" s="13" t="s">
        <v>44</v>
      </c>
      <c r="C20" s="6" t="s">
        <v>7</v>
      </c>
      <c r="D20" s="9">
        <f t="shared" si="0"/>
        <v>33</v>
      </c>
      <c r="E20" s="6" t="s">
        <v>8</v>
      </c>
      <c r="F20" s="6"/>
      <c r="G20" s="6"/>
      <c r="H20" s="6"/>
      <c r="I20" s="6"/>
      <c r="J20" s="6"/>
      <c r="K20" s="6"/>
      <c r="L20" s="6"/>
      <c r="M20" s="6"/>
      <c r="N20" s="6"/>
      <c r="O20" s="6"/>
      <c r="P20" s="6"/>
      <c r="Q20" s="6"/>
      <c r="R20" s="6"/>
      <c r="S20" s="6"/>
      <c r="T20" s="6"/>
      <c r="U20" s="6"/>
      <c r="V20" s="6"/>
      <c r="W20" s="6"/>
      <c r="X20" s="6"/>
      <c r="Y20" s="6"/>
      <c r="Z20" s="6"/>
      <c r="AA20" s="6"/>
    </row>
    <row r="21" spans="1:27" ht="86.45">
      <c r="A21" s="14" t="s">
        <v>45</v>
      </c>
      <c r="B21" s="13" t="s">
        <v>46</v>
      </c>
      <c r="C21" s="6" t="s">
        <v>7</v>
      </c>
      <c r="D21" s="9">
        <f t="shared" si="0"/>
        <v>264</v>
      </c>
      <c r="E21" s="6" t="s">
        <v>8</v>
      </c>
      <c r="F21" s="6"/>
      <c r="G21" s="6"/>
      <c r="H21" s="6"/>
      <c r="I21" s="6"/>
      <c r="J21" s="6"/>
      <c r="K21" s="6"/>
      <c r="L21" s="6"/>
      <c r="M21" s="6"/>
      <c r="N21" s="6"/>
      <c r="O21" s="6"/>
      <c r="P21" s="6"/>
      <c r="Q21" s="6"/>
      <c r="R21" s="6"/>
      <c r="S21" s="6"/>
      <c r="T21" s="6"/>
      <c r="U21" s="6"/>
      <c r="V21" s="6"/>
      <c r="W21" s="6"/>
      <c r="X21" s="6"/>
      <c r="Y21" s="6"/>
      <c r="Z21" s="6"/>
      <c r="AA21" s="6"/>
    </row>
    <row r="22" spans="1:27" ht="86.45">
      <c r="A22" s="14" t="s">
        <v>47</v>
      </c>
      <c r="B22" s="13" t="s">
        <v>48</v>
      </c>
      <c r="C22" s="6" t="s">
        <v>7</v>
      </c>
      <c r="D22" s="9">
        <f t="shared" si="0"/>
        <v>327</v>
      </c>
      <c r="E22" s="6"/>
      <c r="F22" s="6"/>
      <c r="G22" s="6"/>
      <c r="H22" s="6"/>
      <c r="I22" s="6"/>
      <c r="J22" s="6"/>
      <c r="K22" s="6"/>
      <c r="L22" s="6"/>
      <c r="M22" s="6"/>
      <c r="N22" s="6"/>
      <c r="O22" s="6"/>
      <c r="P22" s="6"/>
      <c r="Q22" s="6"/>
      <c r="R22" s="6"/>
      <c r="S22" s="6"/>
      <c r="T22" s="6"/>
      <c r="U22" s="6"/>
      <c r="V22" s="6"/>
      <c r="W22" s="6"/>
      <c r="X22" s="6"/>
      <c r="Y22" s="6"/>
      <c r="Z22" s="6"/>
      <c r="AA22" s="6"/>
    </row>
    <row r="23" spans="1:27" ht="72">
      <c r="A23" s="14" t="s">
        <v>49</v>
      </c>
      <c r="B23" s="13" t="s">
        <v>50</v>
      </c>
      <c r="C23" s="6" t="s">
        <v>7</v>
      </c>
      <c r="D23" s="9"/>
      <c r="E23" s="6"/>
      <c r="F23" s="6"/>
      <c r="G23" s="6"/>
      <c r="H23" s="6"/>
      <c r="I23" s="6"/>
      <c r="J23" s="6"/>
      <c r="K23" s="6"/>
      <c r="L23" s="6"/>
      <c r="M23" s="6"/>
      <c r="N23" s="6"/>
      <c r="O23" s="6"/>
      <c r="P23" s="6"/>
      <c r="Q23" s="6"/>
      <c r="R23" s="6"/>
      <c r="S23" s="6"/>
      <c r="T23" s="6"/>
      <c r="U23" s="6"/>
      <c r="V23" s="6"/>
      <c r="W23" s="6"/>
      <c r="X23" s="6"/>
      <c r="Y23" s="6"/>
      <c r="Z23" s="6"/>
      <c r="AA23" s="6"/>
    </row>
    <row r="24" spans="1:27" ht="43.15">
      <c r="A24" s="14" t="s">
        <v>51</v>
      </c>
      <c r="B24" s="13" t="s">
        <v>52</v>
      </c>
      <c r="C24" s="6" t="s">
        <v>7</v>
      </c>
      <c r="D24" s="9">
        <f t="shared" ref="D24:D52" si="1">+LEN(B24)</f>
        <v>184</v>
      </c>
      <c r="E24" s="6" t="s">
        <v>8</v>
      </c>
      <c r="F24" s="6"/>
      <c r="G24" s="6"/>
      <c r="H24" s="6"/>
      <c r="I24" s="6"/>
      <c r="J24" s="6"/>
      <c r="K24" s="6"/>
      <c r="L24" s="6"/>
      <c r="M24" s="6"/>
      <c r="N24" s="6"/>
      <c r="O24" s="6"/>
      <c r="P24" s="6"/>
      <c r="Q24" s="6"/>
      <c r="R24" s="6"/>
      <c r="S24" s="6"/>
      <c r="T24" s="6"/>
      <c r="U24" s="6"/>
      <c r="V24" s="6"/>
      <c r="W24" s="6"/>
      <c r="X24" s="6"/>
      <c r="Y24" s="6"/>
      <c r="Z24" s="6"/>
      <c r="AA24" s="6"/>
    </row>
    <row r="25" spans="1:27" ht="57.6">
      <c r="A25" s="14" t="s">
        <v>53</v>
      </c>
      <c r="B25" s="13" t="s">
        <v>54</v>
      </c>
      <c r="C25" s="6" t="s">
        <v>7</v>
      </c>
      <c r="D25" s="9">
        <f t="shared" si="1"/>
        <v>259</v>
      </c>
      <c r="E25" s="6" t="s">
        <v>8</v>
      </c>
      <c r="F25" s="6"/>
      <c r="G25" s="6"/>
      <c r="H25" s="6"/>
      <c r="I25" s="6"/>
      <c r="J25" s="6"/>
      <c r="K25" s="6"/>
      <c r="L25" s="6"/>
      <c r="M25" s="6"/>
      <c r="N25" s="6"/>
      <c r="O25" s="6"/>
      <c r="P25" s="6"/>
      <c r="Q25" s="6"/>
      <c r="R25" s="6"/>
      <c r="S25" s="6"/>
      <c r="T25" s="6"/>
      <c r="U25" s="6"/>
      <c r="V25" s="6"/>
      <c r="W25" s="6"/>
      <c r="X25" s="6"/>
      <c r="Y25" s="6"/>
      <c r="Z25" s="6"/>
      <c r="AA25" s="6"/>
    </row>
    <row r="26" spans="1:27" ht="124.5" customHeight="1">
      <c r="A26" s="10" t="s">
        <v>55</v>
      </c>
      <c r="B26" s="11" t="s">
        <v>56</v>
      </c>
      <c r="C26" s="6"/>
      <c r="D26" s="9">
        <f t="shared" si="1"/>
        <v>439</v>
      </c>
      <c r="E26" s="6" t="s">
        <v>8</v>
      </c>
      <c r="F26" s="6"/>
      <c r="G26" s="6"/>
      <c r="H26" s="6"/>
      <c r="I26" s="6"/>
      <c r="J26" s="6"/>
      <c r="K26" s="6"/>
      <c r="L26" s="6"/>
      <c r="M26" s="6"/>
      <c r="N26" s="6"/>
      <c r="O26" s="6"/>
      <c r="P26" s="6"/>
      <c r="Q26" s="6"/>
      <c r="R26" s="6"/>
      <c r="S26" s="6"/>
      <c r="T26" s="6"/>
      <c r="U26" s="6"/>
      <c r="V26" s="6"/>
      <c r="W26" s="6"/>
      <c r="X26" s="6"/>
      <c r="Y26" s="6"/>
      <c r="Z26" s="6"/>
      <c r="AA26" s="6"/>
    </row>
    <row r="27" spans="1:27" ht="55.5" customHeight="1">
      <c r="A27" s="10" t="s">
        <v>57</v>
      </c>
      <c r="B27" s="11" t="s">
        <v>58</v>
      </c>
      <c r="C27" s="6" t="s">
        <v>7</v>
      </c>
      <c r="D27" s="9">
        <f t="shared" si="1"/>
        <v>199</v>
      </c>
      <c r="E27" s="6" t="s">
        <v>8</v>
      </c>
      <c r="F27" s="6"/>
      <c r="G27" s="6"/>
      <c r="H27" s="6"/>
      <c r="I27" s="6"/>
      <c r="J27" s="6"/>
      <c r="K27" s="6"/>
      <c r="L27" s="6"/>
      <c r="M27" s="6"/>
      <c r="N27" s="6"/>
      <c r="O27" s="6"/>
      <c r="P27" s="6"/>
      <c r="Q27" s="6"/>
      <c r="R27" s="6"/>
      <c r="S27" s="6"/>
      <c r="T27" s="6"/>
      <c r="U27" s="6"/>
      <c r="V27" s="6"/>
      <c r="W27" s="6"/>
      <c r="X27" s="6"/>
      <c r="Y27" s="6"/>
      <c r="Z27" s="6"/>
      <c r="AA27" s="6"/>
    </row>
    <row r="28" spans="1:27" ht="43.15">
      <c r="A28" s="14" t="s">
        <v>59</v>
      </c>
      <c r="B28" s="13" t="s">
        <v>60</v>
      </c>
      <c r="C28" s="6" t="s">
        <v>7</v>
      </c>
      <c r="D28" s="9">
        <f t="shared" si="1"/>
        <v>165</v>
      </c>
      <c r="E28" s="6" t="s">
        <v>8</v>
      </c>
      <c r="F28" s="6"/>
      <c r="G28" s="6"/>
      <c r="H28" s="6"/>
      <c r="I28" s="6"/>
      <c r="J28" s="6"/>
      <c r="K28" s="6"/>
      <c r="L28" s="6"/>
      <c r="M28" s="6"/>
      <c r="N28" s="6"/>
      <c r="O28" s="6"/>
      <c r="P28" s="6"/>
      <c r="Q28" s="6"/>
      <c r="R28" s="6"/>
      <c r="S28" s="6"/>
      <c r="T28" s="6"/>
      <c r="U28" s="6"/>
      <c r="V28" s="6"/>
      <c r="W28" s="6"/>
      <c r="X28" s="6"/>
      <c r="Y28" s="6"/>
      <c r="Z28" s="6"/>
      <c r="AA28" s="6"/>
    </row>
    <row r="29" spans="1:27" ht="43.15">
      <c r="A29" s="14" t="s">
        <v>61</v>
      </c>
      <c r="B29" s="13" t="s">
        <v>62</v>
      </c>
      <c r="C29" s="6" t="s">
        <v>7</v>
      </c>
      <c r="D29" s="9">
        <f t="shared" si="1"/>
        <v>172</v>
      </c>
      <c r="E29" s="6" t="s">
        <v>8</v>
      </c>
      <c r="F29" s="6"/>
      <c r="G29" s="6"/>
      <c r="H29" s="6"/>
      <c r="I29" s="6"/>
      <c r="J29" s="6"/>
      <c r="K29" s="6"/>
      <c r="L29" s="6"/>
      <c r="M29" s="6"/>
      <c r="N29" s="6"/>
      <c r="O29" s="6"/>
      <c r="P29" s="6"/>
      <c r="Q29" s="6"/>
      <c r="R29" s="6"/>
      <c r="S29" s="6"/>
      <c r="T29" s="6"/>
      <c r="U29" s="6"/>
      <c r="V29" s="6"/>
      <c r="W29" s="6"/>
      <c r="X29" s="6"/>
      <c r="Y29" s="6"/>
      <c r="Z29" s="6"/>
      <c r="AA29" s="6"/>
    </row>
    <row r="30" spans="1:27" ht="50.25" customHeight="1">
      <c r="A30" s="14" t="s">
        <v>63</v>
      </c>
      <c r="B30" s="13" t="s">
        <v>64</v>
      </c>
      <c r="C30" s="6" t="s">
        <v>7</v>
      </c>
      <c r="D30" s="9">
        <f t="shared" si="1"/>
        <v>322</v>
      </c>
      <c r="E30" s="6" t="s">
        <v>8</v>
      </c>
      <c r="F30" s="6"/>
      <c r="G30" s="6"/>
      <c r="H30" s="6"/>
      <c r="I30" s="6"/>
      <c r="J30" s="6"/>
      <c r="K30" s="6"/>
      <c r="L30" s="6"/>
      <c r="M30" s="6"/>
      <c r="N30" s="6"/>
      <c r="O30" s="6"/>
      <c r="P30" s="6"/>
      <c r="Q30" s="6"/>
      <c r="R30" s="6"/>
      <c r="S30" s="6"/>
      <c r="T30" s="6"/>
      <c r="U30" s="6"/>
      <c r="V30" s="6"/>
      <c r="W30" s="6"/>
      <c r="X30" s="6"/>
      <c r="Y30" s="6"/>
      <c r="Z30" s="6"/>
      <c r="AA30" s="6"/>
    </row>
    <row r="31" spans="1:27" ht="71.25" customHeight="1">
      <c r="A31" s="14" t="s">
        <v>65</v>
      </c>
      <c r="B31" s="8" t="s">
        <v>66</v>
      </c>
      <c r="C31" s="6" t="s">
        <v>7</v>
      </c>
      <c r="D31" s="9">
        <f t="shared" si="1"/>
        <v>326</v>
      </c>
      <c r="E31" s="6" t="s">
        <v>8</v>
      </c>
      <c r="F31" s="6"/>
      <c r="G31" s="6"/>
      <c r="H31" s="6"/>
      <c r="I31" s="6"/>
      <c r="J31" s="6"/>
      <c r="K31" s="6"/>
      <c r="L31" s="6"/>
      <c r="M31" s="6"/>
      <c r="N31" s="6"/>
      <c r="O31" s="6"/>
      <c r="P31" s="6"/>
      <c r="Q31" s="6"/>
      <c r="R31" s="6"/>
      <c r="S31" s="6"/>
      <c r="T31" s="6"/>
      <c r="U31" s="6"/>
      <c r="V31" s="6"/>
      <c r="W31" s="6"/>
      <c r="X31" s="6"/>
      <c r="Y31" s="6"/>
      <c r="Z31" s="6"/>
      <c r="AA31" s="6"/>
    </row>
    <row r="32" spans="1:27" ht="39.6">
      <c r="A32" s="14" t="s">
        <v>67</v>
      </c>
      <c r="B32" s="8" t="s">
        <v>68</v>
      </c>
      <c r="C32" s="6" t="s">
        <v>7</v>
      </c>
      <c r="D32" s="9">
        <f t="shared" si="1"/>
        <v>171</v>
      </c>
      <c r="E32" s="6" t="s">
        <v>8</v>
      </c>
      <c r="F32" s="6"/>
      <c r="G32" s="6"/>
      <c r="H32" s="6"/>
      <c r="I32" s="6"/>
      <c r="J32" s="6"/>
      <c r="K32" s="6"/>
      <c r="L32" s="6"/>
      <c r="M32" s="6"/>
      <c r="N32" s="6"/>
      <c r="O32" s="6"/>
      <c r="P32" s="6"/>
      <c r="Q32" s="6"/>
      <c r="R32" s="6"/>
      <c r="S32" s="6"/>
      <c r="T32" s="6"/>
      <c r="U32" s="6"/>
      <c r="V32" s="6"/>
      <c r="W32" s="6"/>
      <c r="X32" s="6"/>
      <c r="Y32" s="6"/>
      <c r="Z32" s="6"/>
      <c r="AA32" s="6"/>
    </row>
    <row r="33" spans="1:27" ht="66">
      <c r="A33" s="14" t="s">
        <v>69</v>
      </c>
      <c r="B33" s="8" t="s">
        <v>70</v>
      </c>
      <c r="C33" s="6" t="s">
        <v>7</v>
      </c>
      <c r="D33" s="9">
        <f t="shared" si="1"/>
        <v>329</v>
      </c>
      <c r="E33" s="6" t="s">
        <v>8</v>
      </c>
      <c r="F33" s="6"/>
      <c r="G33" s="6"/>
      <c r="H33" s="6"/>
      <c r="I33" s="6"/>
      <c r="J33" s="6"/>
      <c r="K33" s="6"/>
      <c r="L33" s="6"/>
      <c r="M33" s="6"/>
      <c r="N33" s="6"/>
      <c r="O33" s="6"/>
      <c r="P33" s="6"/>
      <c r="Q33" s="6"/>
      <c r="R33" s="6"/>
      <c r="S33" s="6"/>
      <c r="T33" s="6"/>
      <c r="U33" s="6"/>
      <c r="V33" s="6"/>
      <c r="W33" s="6"/>
      <c r="X33" s="6"/>
      <c r="Y33" s="6"/>
      <c r="Z33" s="6"/>
      <c r="AA33" s="6"/>
    </row>
    <row r="34" spans="1:27" ht="43.15">
      <c r="A34" s="10" t="s">
        <v>71</v>
      </c>
      <c r="B34" s="11" t="s">
        <v>72</v>
      </c>
      <c r="C34" s="6" t="s">
        <v>15</v>
      </c>
      <c r="D34" s="9">
        <f t="shared" si="1"/>
        <v>177</v>
      </c>
      <c r="E34" s="6" t="s">
        <v>8</v>
      </c>
      <c r="F34" s="6"/>
      <c r="G34" s="6"/>
      <c r="H34" s="6"/>
      <c r="I34" s="6"/>
      <c r="J34" s="6"/>
      <c r="K34" s="6"/>
      <c r="L34" s="6"/>
      <c r="M34" s="6"/>
      <c r="N34" s="6"/>
      <c r="O34" s="6"/>
      <c r="P34" s="6"/>
      <c r="Q34" s="6"/>
      <c r="R34" s="6"/>
      <c r="S34" s="6"/>
      <c r="T34" s="6"/>
      <c r="U34" s="6"/>
      <c r="V34" s="6"/>
      <c r="W34" s="6"/>
      <c r="X34" s="6"/>
      <c r="Y34" s="6"/>
      <c r="Z34" s="6"/>
      <c r="AA34" s="6"/>
    </row>
    <row r="35" spans="1:27" ht="39.6">
      <c r="A35" s="14" t="s">
        <v>73</v>
      </c>
      <c r="B35" s="8" t="s">
        <v>74</v>
      </c>
      <c r="C35" s="6" t="s">
        <v>15</v>
      </c>
      <c r="D35" s="9">
        <f t="shared" si="1"/>
        <v>197</v>
      </c>
      <c r="E35" s="6"/>
      <c r="F35" s="6"/>
      <c r="G35" s="6"/>
      <c r="H35" s="6"/>
      <c r="I35" s="6"/>
      <c r="J35" s="6"/>
      <c r="K35" s="6"/>
      <c r="L35" s="6"/>
      <c r="M35" s="6"/>
      <c r="N35" s="6"/>
      <c r="O35" s="6"/>
      <c r="P35" s="6"/>
      <c r="Q35" s="6"/>
      <c r="R35" s="6"/>
      <c r="S35" s="6"/>
      <c r="T35" s="6"/>
      <c r="U35" s="6"/>
      <c r="V35" s="6"/>
      <c r="W35" s="6"/>
      <c r="X35" s="6"/>
      <c r="Y35" s="6"/>
      <c r="Z35" s="6"/>
      <c r="AA35" s="6"/>
    </row>
    <row r="36" spans="1:27" ht="66">
      <c r="A36" s="14" t="s">
        <v>75</v>
      </c>
      <c r="B36" s="8" t="s">
        <v>76</v>
      </c>
      <c r="C36" s="6" t="s">
        <v>15</v>
      </c>
      <c r="D36" s="9">
        <f t="shared" si="1"/>
        <v>322</v>
      </c>
      <c r="E36" s="6"/>
      <c r="F36" s="6"/>
      <c r="G36" s="6"/>
      <c r="H36" s="6"/>
      <c r="I36" s="6"/>
      <c r="J36" s="6"/>
      <c r="K36" s="6"/>
      <c r="L36" s="6"/>
      <c r="M36" s="6"/>
      <c r="N36" s="6"/>
      <c r="O36" s="6"/>
      <c r="P36" s="6"/>
      <c r="Q36" s="6"/>
      <c r="R36" s="6"/>
      <c r="S36" s="6"/>
      <c r="T36" s="6"/>
      <c r="U36" s="6"/>
      <c r="V36" s="6"/>
      <c r="W36" s="6"/>
      <c r="X36" s="6"/>
      <c r="Y36" s="6"/>
      <c r="Z36" s="6"/>
      <c r="AA36" s="6"/>
    </row>
    <row r="37" spans="1:27" ht="66">
      <c r="A37" s="14" t="s">
        <v>77</v>
      </c>
      <c r="B37" s="8" t="s">
        <v>78</v>
      </c>
      <c r="C37" s="6" t="s">
        <v>15</v>
      </c>
      <c r="D37" s="9">
        <f t="shared" si="1"/>
        <v>319</v>
      </c>
      <c r="E37" s="6" t="s">
        <v>8</v>
      </c>
      <c r="F37" s="6"/>
      <c r="G37" s="6"/>
      <c r="H37" s="6"/>
      <c r="I37" s="6"/>
      <c r="J37" s="6"/>
      <c r="K37" s="6"/>
      <c r="L37" s="6"/>
      <c r="M37" s="6"/>
      <c r="N37" s="6"/>
      <c r="O37" s="6"/>
      <c r="P37" s="6"/>
      <c r="Q37" s="6"/>
      <c r="R37" s="6"/>
      <c r="S37" s="6"/>
      <c r="T37" s="6"/>
      <c r="U37" s="6"/>
      <c r="V37" s="6"/>
      <c r="W37" s="6"/>
      <c r="X37" s="6"/>
      <c r="Y37" s="6"/>
      <c r="Z37" s="6"/>
      <c r="AA37" s="6"/>
    </row>
    <row r="38" spans="1:27" ht="43.15">
      <c r="A38" s="10" t="s">
        <v>79</v>
      </c>
      <c r="B38" s="11" t="s">
        <v>80</v>
      </c>
      <c r="C38" s="6" t="s">
        <v>15</v>
      </c>
      <c r="D38" s="9">
        <f t="shared" si="1"/>
        <v>182</v>
      </c>
      <c r="E38" s="6" t="s">
        <v>8</v>
      </c>
      <c r="F38" s="6"/>
      <c r="G38" s="6"/>
      <c r="H38" s="6"/>
      <c r="I38" s="6"/>
      <c r="J38" s="6"/>
      <c r="K38" s="6"/>
      <c r="L38" s="6"/>
      <c r="M38" s="6"/>
      <c r="N38" s="6"/>
      <c r="O38" s="6"/>
      <c r="P38" s="6"/>
      <c r="Q38" s="6"/>
      <c r="R38" s="6"/>
      <c r="S38" s="6"/>
      <c r="T38" s="6"/>
      <c r="U38" s="6"/>
      <c r="V38" s="6"/>
      <c r="W38" s="6"/>
      <c r="X38" s="6"/>
      <c r="Y38" s="6"/>
      <c r="Z38" s="6"/>
      <c r="AA38" s="6"/>
    </row>
    <row r="39" spans="1:27" ht="66">
      <c r="A39" s="12" t="s">
        <v>81</v>
      </c>
      <c r="B39" s="8" t="s">
        <v>82</v>
      </c>
      <c r="C39" s="6" t="s">
        <v>7</v>
      </c>
      <c r="D39" s="9">
        <f t="shared" si="1"/>
        <v>220</v>
      </c>
      <c r="E39" s="6" t="s">
        <v>8</v>
      </c>
      <c r="F39" s="6"/>
      <c r="G39" s="6"/>
      <c r="H39" s="6"/>
      <c r="I39" s="6"/>
      <c r="J39" s="6"/>
      <c r="K39" s="6"/>
      <c r="L39" s="6"/>
      <c r="M39" s="6"/>
      <c r="N39" s="6"/>
      <c r="O39" s="6"/>
      <c r="P39" s="6"/>
      <c r="Q39" s="6"/>
      <c r="R39" s="6"/>
      <c r="S39" s="6"/>
      <c r="T39" s="6"/>
      <c r="U39" s="6"/>
      <c r="V39" s="6"/>
      <c r="W39" s="6"/>
      <c r="X39" s="6"/>
      <c r="Y39" s="6"/>
      <c r="Z39" s="6"/>
      <c r="AA39" s="6"/>
    </row>
    <row r="40" spans="1:27" ht="43.15">
      <c r="A40" s="10" t="s">
        <v>83</v>
      </c>
      <c r="B40" s="11" t="s">
        <v>84</v>
      </c>
      <c r="C40" s="6" t="s">
        <v>7</v>
      </c>
      <c r="D40" s="9">
        <f t="shared" si="1"/>
        <v>188</v>
      </c>
      <c r="E40" s="6" t="s">
        <v>8</v>
      </c>
      <c r="F40" s="6"/>
      <c r="G40" s="6"/>
      <c r="H40" s="6"/>
      <c r="I40" s="6"/>
      <c r="J40" s="6"/>
      <c r="K40" s="6"/>
      <c r="L40" s="6"/>
      <c r="M40" s="6"/>
      <c r="N40" s="6"/>
      <c r="O40" s="6"/>
      <c r="P40" s="6"/>
      <c r="Q40" s="6"/>
      <c r="R40" s="6"/>
      <c r="S40" s="6"/>
      <c r="T40" s="6"/>
      <c r="U40" s="6"/>
      <c r="V40" s="6"/>
      <c r="W40" s="6"/>
      <c r="X40" s="6"/>
      <c r="Y40" s="6"/>
      <c r="Z40" s="6"/>
      <c r="AA40" s="6"/>
    </row>
    <row r="41" spans="1:27" ht="57.6">
      <c r="A41" s="10" t="s">
        <v>85</v>
      </c>
      <c r="B41" s="11" t="s">
        <v>86</v>
      </c>
      <c r="C41" s="6"/>
      <c r="D41" s="9">
        <f t="shared" si="1"/>
        <v>261</v>
      </c>
      <c r="E41" s="6" t="s">
        <v>8</v>
      </c>
      <c r="F41" s="6"/>
      <c r="G41" s="6"/>
      <c r="H41" s="6"/>
      <c r="I41" s="6"/>
      <c r="J41" s="6"/>
      <c r="K41" s="6"/>
      <c r="L41" s="6"/>
      <c r="M41" s="6"/>
      <c r="N41" s="6"/>
      <c r="O41" s="6"/>
      <c r="P41" s="6"/>
      <c r="Q41" s="6"/>
      <c r="R41" s="6"/>
      <c r="S41" s="6"/>
      <c r="T41" s="6"/>
      <c r="U41" s="6"/>
      <c r="V41" s="6"/>
      <c r="W41" s="6"/>
      <c r="X41" s="6"/>
      <c r="Y41" s="6"/>
      <c r="Z41" s="6"/>
      <c r="AA41" s="6"/>
    </row>
    <row r="42" spans="1:27" ht="39.6">
      <c r="A42" s="14" t="s">
        <v>87</v>
      </c>
      <c r="B42" s="8" t="s">
        <v>62</v>
      </c>
      <c r="C42" s="6" t="s">
        <v>7</v>
      </c>
      <c r="D42" s="9">
        <f t="shared" si="1"/>
        <v>172</v>
      </c>
      <c r="E42" s="6" t="s">
        <v>8</v>
      </c>
      <c r="F42" s="6"/>
      <c r="G42" s="6"/>
      <c r="H42" s="6"/>
      <c r="I42" s="6"/>
      <c r="J42" s="6"/>
      <c r="K42" s="6"/>
      <c r="L42" s="6"/>
      <c r="M42" s="6"/>
      <c r="N42" s="6"/>
      <c r="O42" s="6"/>
      <c r="P42" s="6"/>
      <c r="Q42" s="6"/>
      <c r="R42" s="6"/>
      <c r="S42" s="6"/>
      <c r="T42" s="6"/>
      <c r="U42" s="6"/>
      <c r="V42" s="6"/>
      <c r="W42" s="6"/>
      <c r="X42" s="6"/>
      <c r="Y42" s="6"/>
      <c r="Z42" s="6"/>
      <c r="AA42" s="6"/>
    </row>
    <row r="43" spans="1:27" ht="52.9">
      <c r="A43" s="14" t="s">
        <v>88</v>
      </c>
      <c r="B43" s="8" t="s">
        <v>89</v>
      </c>
      <c r="C43" s="6" t="s">
        <v>7</v>
      </c>
      <c r="D43" s="9">
        <f t="shared" si="1"/>
        <v>261</v>
      </c>
      <c r="E43" s="6" t="s">
        <v>8</v>
      </c>
      <c r="F43" s="6"/>
      <c r="G43" s="6"/>
      <c r="H43" s="6"/>
      <c r="I43" s="6"/>
      <c r="J43" s="6"/>
      <c r="K43" s="6"/>
      <c r="L43" s="6"/>
      <c r="M43" s="6"/>
      <c r="N43" s="6"/>
      <c r="O43" s="6"/>
      <c r="P43" s="6"/>
      <c r="Q43" s="6"/>
      <c r="R43" s="6"/>
      <c r="S43" s="6"/>
      <c r="T43" s="6"/>
      <c r="U43" s="6"/>
      <c r="V43" s="6"/>
      <c r="W43" s="6"/>
      <c r="X43" s="6"/>
      <c r="Y43" s="6"/>
      <c r="Z43" s="6"/>
      <c r="AA43" s="6"/>
    </row>
    <row r="44" spans="1:27" ht="52.9">
      <c r="A44" s="14" t="s">
        <v>90</v>
      </c>
      <c r="B44" s="8" t="s">
        <v>91</v>
      </c>
      <c r="C44" s="6" t="s">
        <v>7</v>
      </c>
      <c r="D44" s="9">
        <f t="shared" si="1"/>
        <v>194</v>
      </c>
      <c r="E44" s="6" t="s">
        <v>8</v>
      </c>
      <c r="F44" s="6"/>
      <c r="G44" s="6"/>
      <c r="H44" s="6"/>
      <c r="I44" s="6"/>
      <c r="J44" s="6"/>
      <c r="K44" s="6"/>
      <c r="L44" s="6"/>
      <c r="M44" s="6"/>
      <c r="N44" s="6"/>
      <c r="O44" s="6"/>
      <c r="P44" s="6"/>
      <c r="Q44" s="6"/>
      <c r="R44" s="6"/>
      <c r="S44" s="6"/>
      <c r="T44" s="6"/>
      <c r="U44" s="6"/>
      <c r="V44" s="6"/>
      <c r="W44" s="6"/>
      <c r="X44" s="6"/>
      <c r="Y44" s="6"/>
      <c r="Z44" s="6"/>
      <c r="AA44" s="6"/>
    </row>
    <row r="45" spans="1:27" ht="42.75" customHeight="1">
      <c r="A45" s="15" t="s">
        <v>92</v>
      </c>
      <c r="B45" s="16" t="s">
        <v>93</v>
      </c>
      <c r="C45" s="6" t="s">
        <v>7</v>
      </c>
      <c r="D45" s="17">
        <f t="shared" si="1"/>
        <v>186</v>
      </c>
      <c r="E45" s="6" t="s">
        <v>8</v>
      </c>
      <c r="F45" s="6"/>
      <c r="G45" s="6"/>
      <c r="H45" s="6"/>
      <c r="I45" s="6"/>
      <c r="J45" s="6"/>
      <c r="K45" s="6"/>
      <c r="L45" s="6"/>
      <c r="M45" s="6"/>
      <c r="N45" s="6"/>
      <c r="O45" s="6"/>
      <c r="P45" s="6"/>
      <c r="Q45" s="6"/>
      <c r="R45" s="6"/>
      <c r="S45" s="6"/>
      <c r="T45" s="6"/>
      <c r="U45" s="6"/>
      <c r="V45" s="6"/>
      <c r="W45" s="6"/>
      <c r="X45" s="6"/>
      <c r="Y45" s="6"/>
      <c r="Z45" s="6"/>
      <c r="AA45" s="6"/>
    </row>
    <row r="46" spans="1:27" ht="78" customHeight="1">
      <c r="A46" s="18" t="s">
        <v>94</v>
      </c>
      <c r="B46" s="8" t="s">
        <v>95</v>
      </c>
      <c r="C46" s="6" t="s">
        <v>7</v>
      </c>
      <c r="D46" s="17">
        <f t="shared" si="1"/>
        <v>364</v>
      </c>
      <c r="E46" s="6" t="s">
        <v>8</v>
      </c>
      <c r="F46" s="6"/>
      <c r="G46" s="6"/>
      <c r="H46" s="6"/>
      <c r="I46" s="6"/>
      <c r="J46" s="6"/>
      <c r="K46" s="6"/>
      <c r="L46" s="6"/>
      <c r="M46" s="6"/>
      <c r="N46" s="6"/>
      <c r="O46" s="6"/>
      <c r="P46" s="6"/>
      <c r="Q46" s="6"/>
      <c r="R46" s="6"/>
      <c r="S46" s="6"/>
      <c r="T46" s="6"/>
      <c r="U46" s="6"/>
      <c r="V46" s="6"/>
      <c r="W46" s="6"/>
      <c r="X46" s="6"/>
      <c r="Y46" s="6"/>
      <c r="Z46" s="6"/>
      <c r="AA46" s="6"/>
    </row>
    <row r="47" spans="1:27" ht="71.25" customHeight="1">
      <c r="A47" s="19" t="s">
        <v>96</v>
      </c>
      <c r="B47" s="8" t="s">
        <v>97</v>
      </c>
      <c r="C47" s="6" t="s">
        <v>7</v>
      </c>
      <c r="D47" s="17">
        <f t="shared" si="1"/>
        <v>382</v>
      </c>
      <c r="E47" s="6" t="s">
        <v>8</v>
      </c>
      <c r="F47" s="6"/>
      <c r="G47" s="6"/>
      <c r="H47" s="6"/>
      <c r="I47" s="6"/>
      <c r="J47" s="6"/>
      <c r="K47" s="6"/>
      <c r="L47" s="6"/>
      <c r="M47" s="6"/>
      <c r="N47" s="6"/>
      <c r="O47" s="6"/>
      <c r="P47" s="6"/>
      <c r="Q47" s="6"/>
      <c r="R47" s="6"/>
      <c r="S47" s="6"/>
      <c r="T47" s="6"/>
      <c r="U47" s="6"/>
      <c r="V47" s="6"/>
      <c r="W47" s="6"/>
      <c r="X47" s="6"/>
      <c r="Y47" s="6"/>
      <c r="Z47" s="6"/>
      <c r="AA47" s="6"/>
    </row>
    <row r="48" spans="1:27" ht="39.75" customHeight="1">
      <c r="A48" s="19" t="s">
        <v>98</v>
      </c>
      <c r="B48" s="8" t="s">
        <v>99</v>
      </c>
      <c r="C48" s="6" t="s">
        <v>7</v>
      </c>
      <c r="D48" s="17">
        <f t="shared" si="1"/>
        <v>174</v>
      </c>
      <c r="E48" s="6" t="s">
        <v>8</v>
      </c>
      <c r="F48" s="6"/>
      <c r="G48" s="6"/>
      <c r="H48" s="6"/>
      <c r="I48" s="6"/>
      <c r="J48" s="6"/>
      <c r="K48" s="6"/>
      <c r="L48" s="6"/>
      <c r="M48" s="6"/>
      <c r="N48" s="6"/>
      <c r="O48" s="6"/>
      <c r="P48" s="6"/>
      <c r="Q48" s="6"/>
      <c r="R48" s="6"/>
      <c r="S48" s="6"/>
      <c r="T48" s="6"/>
      <c r="U48" s="6"/>
      <c r="V48" s="6"/>
      <c r="W48" s="6"/>
      <c r="X48" s="6"/>
      <c r="Y48" s="6"/>
      <c r="Z48" s="6"/>
      <c r="AA48" s="6"/>
    </row>
    <row r="49" spans="1:27" ht="37.5" customHeight="1">
      <c r="A49" s="19" t="s">
        <v>100</v>
      </c>
      <c r="B49" s="8" t="s">
        <v>101</v>
      </c>
      <c r="C49" s="6" t="s">
        <v>7</v>
      </c>
      <c r="D49" s="17">
        <f t="shared" si="1"/>
        <v>177</v>
      </c>
      <c r="E49" s="6" t="s">
        <v>8</v>
      </c>
      <c r="F49" s="6"/>
      <c r="G49" s="6"/>
      <c r="H49" s="6"/>
      <c r="I49" s="6"/>
      <c r="J49" s="6"/>
      <c r="K49" s="6"/>
      <c r="L49" s="6"/>
      <c r="M49" s="6"/>
      <c r="N49" s="6"/>
      <c r="O49" s="6"/>
      <c r="P49" s="6"/>
      <c r="Q49" s="6"/>
      <c r="R49" s="6"/>
      <c r="S49" s="6"/>
      <c r="T49" s="6"/>
      <c r="U49" s="6"/>
      <c r="V49" s="6"/>
      <c r="W49" s="6"/>
      <c r="X49" s="6"/>
      <c r="Y49" s="6"/>
      <c r="Z49" s="6"/>
      <c r="AA49" s="6"/>
    </row>
    <row r="50" spans="1:27" ht="37.5" customHeight="1">
      <c r="A50" s="19" t="s">
        <v>102</v>
      </c>
      <c r="B50" s="8" t="s">
        <v>101</v>
      </c>
      <c r="C50" s="6" t="s">
        <v>7</v>
      </c>
      <c r="D50" s="17">
        <f t="shared" si="1"/>
        <v>177</v>
      </c>
      <c r="E50" s="6"/>
      <c r="F50" s="6"/>
      <c r="G50" s="6"/>
      <c r="H50" s="6"/>
      <c r="I50" s="6"/>
      <c r="J50" s="6"/>
      <c r="K50" s="6"/>
      <c r="L50" s="6"/>
      <c r="M50" s="6"/>
      <c r="N50" s="6"/>
      <c r="O50" s="6"/>
      <c r="P50" s="6"/>
      <c r="Q50" s="6"/>
      <c r="R50" s="6"/>
      <c r="S50" s="6"/>
      <c r="T50" s="6"/>
      <c r="U50" s="6"/>
      <c r="V50" s="6"/>
      <c r="W50" s="6"/>
      <c r="X50" s="6"/>
      <c r="Y50" s="6"/>
      <c r="Z50" s="6"/>
      <c r="AA50" s="6"/>
    </row>
    <row r="51" spans="1:27" ht="39.6">
      <c r="A51" s="19" t="s">
        <v>103</v>
      </c>
      <c r="B51" s="8" t="s">
        <v>104</v>
      </c>
      <c r="C51" s="6" t="s">
        <v>7</v>
      </c>
      <c r="D51" s="17">
        <f t="shared" si="1"/>
        <v>156</v>
      </c>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t="s">
        <v>105</v>
      </c>
      <c r="B52" s="8" t="s">
        <v>106</v>
      </c>
      <c r="C52" s="6" t="s">
        <v>7</v>
      </c>
      <c r="D52" s="17">
        <f t="shared" si="1"/>
        <v>432</v>
      </c>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8"/>
      <c r="C53" s="6" t="s">
        <v>7</v>
      </c>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8"/>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8"/>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8"/>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8"/>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8"/>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8"/>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8"/>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8"/>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8"/>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8"/>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8"/>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8"/>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8"/>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8"/>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8"/>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8"/>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8"/>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8"/>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8"/>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8"/>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8"/>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8"/>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8"/>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8"/>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8"/>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8"/>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8"/>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8"/>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8"/>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8"/>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8"/>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8"/>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8"/>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8"/>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8"/>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8"/>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8"/>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8"/>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8"/>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8"/>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8"/>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8"/>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8"/>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8"/>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8"/>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8"/>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8"/>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8"/>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8"/>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8"/>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8"/>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8"/>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8"/>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8"/>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8"/>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8"/>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8"/>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8"/>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8"/>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8"/>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8"/>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8"/>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8"/>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8"/>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8"/>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8"/>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8"/>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8"/>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8"/>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8"/>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8"/>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8"/>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8"/>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8"/>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8"/>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8"/>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8"/>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8"/>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8"/>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8"/>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8"/>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8"/>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8"/>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8"/>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8"/>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8"/>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8"/>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8"/>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8"/>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8"/>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8"/>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8"/>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8"/>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8"/>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8"/>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8"/>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8"/>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8"/>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8"/>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8"/>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8"/>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8"/>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8"/>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8"/>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8"/>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8"/>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8"/>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8"/>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8"/>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8"/>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8"/>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8"/>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8"/>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8"/>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8"/>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8"/>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8"/>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8"/>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8"/>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8"/>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8"/>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8"/>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8"/>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8"/>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8"/>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8"/>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8"/>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8"/>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8"/>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8"/>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8"/>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8"/>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8"/>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8"/>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8"/>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8"/>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8"/>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8"/>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8"/>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8"/>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8"/>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8"/>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8"/>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8"/>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8"/>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8"/>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8"/>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8"/>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8"/>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8"/>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8"/>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8"/>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8"/>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8"/>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8"/>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8"/>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8"/>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8"/>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8"/>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8"/>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8"/>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8"/>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8"/>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8"/>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8"/>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8"/>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c r="A220" s="6"/>
      <c r="B220" s="8"/>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c r="A221" s="6"/>
      <c r="B221" s="8"/>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c r="A222" s="6"/>
      <c r="B222" s="8"/>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c r="A223" s="6"/>
      <c r="B223" s="8"/>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c r="A224" s="6"/>
      <c r="B224" s="8"/>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c r="A225" s="6"/>
      <c r="B225" s="8"/>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c r="A226" s="6"/>
      <c r="B226" s="8"/>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c r="A227" s="6"/>
      <c r="B227" s="8"/>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c r="A228" s="6"/>
      <c r="B228" s="8"/>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c r="A237" s="6"/>
      <c r="B237" s="8"/>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c r="A238" s="6"/>
      <c r="B238" s="8"/>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c r="A239" s="6"/>
      <c r="B239" s="8"/>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c r="A240" s="6"/>
      <c r="B240" s="8"/>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c r="A241" s="6"/>
      <c r="B241" s="8"/>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c r="A242" s="6"/>
      <c r="B242" s="8"/>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c r="A243" s="6"/>
      <c r="B243" s="8"/>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c r="A244" s="6"/>
      <c r="B244" s="8"/>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c r="A245" s="6"/>
      <c r="B245" s="8"/>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c r="A246" s="6"/>
      <c r="B246" s="8"/>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c r="A247" s="6"/>
      <c r="B247" s="8"/>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c r="A248" s="6"/>
      <c r="B248" s="8"/>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c r="A249" s="6"/>
      <c r="B249" s="8"/>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c r="A250" s="6"/>
      <c r="B250" s="8"/>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c r="A251" s="6"/>
      <c r="B251" s="8"/>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c r="A252" s="6"/>
      <c r="B252" s="8"/>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c r="A253" s="6"/>
      <c r="B253" s="8"/>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c r="A254" s="6"/>
      <c r="B254" s="8"/>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c r="A255" s="6"/>
      <c r="B255" s="8"/>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c r="A256" s="6"/>
      <c r="B256" s="8"/>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c r="A257" s="6"/>
      <c r="B257" s="8"/>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c r="A258" s="6"/>
      <c r="B258" s="8"/>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c r="A259" s="6"/>
      <c r="B259" s="8"/>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c r="A260" s="6"/>
      <c r="B260" s="8"/>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c r="A261" s="6"/>
      <c r="B261" s="8"/>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c r="A262" s="6"/>
      <c r="B262" s="8"/>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c r="A263" s="6"/>
      <c r="B263" s="8"/>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c r="A264" s="6"/>
      <c r="B264" s="8"/>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c r="A265" s="6"/>
      <c r="B265" s="8"/>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c r="A266" s="6"/>
      <c r="B266" s="8"/>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c r="A267" s="6"/>
      <c r="B267" s="8"/>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c r="A268" s="6"/>
      <c r="B268" s="8"/>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c r="A269" s="6"/>
      <c r="B269" s="8"/>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c r="A270" s="6"/>
      <c r="B270" s="8"/>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c r="A271" s="6"/>
      <c r="B271" s="8"/>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c r="A272" s="6"/>
      <c r="B272" s="8"/>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c r="A273" s="6"/>
      <c r="B273" s="8"/>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c r="A274" s="6"/>
      <c r="B274" s="8"/>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c r="A275" s="6"/>
      <c r="B275" s="8"/>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c r="A276" s="6"/>
      <c r="B276" s="8"/>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c r="A277" s="6"/>
      <c r="B277" s="8"/>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c r="A278" s="6"/>
      <c r="B278" s="8"/>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c r="A279" s="6"/>
      <c r="B279" s="8"/>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c r="A280" s="6"/>
      <c r="B280" s="8"/>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c r="A281" s="6"/>
      <c r="B281" s="8"/>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c r="A282" s="6"/>
      <c r="B282" s="8"/>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c r="A283" s="6"/>
      <c r="B283" s="8"/>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c r="A284" s="6"/>
      <c r="B284" s="8"/>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c r="A285" s="6"/>
      <c r="B285" s="8"/>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c r="A286" s="6"/>
      <c r="B286" s="8"/>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c r="A287" s="6"/>
      <c r="B287" s="8"/>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c r="A288" s="6"/>
      <c r="B288" s="8"/>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c r="A289" s="6"/>
      <c r="B289" s="8"/>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c r="A290" s="6"/>
      <c r="B290" s="8"/>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c r="A291" s="6"/>
      <c r="B291" s="8"/>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c r="A292" s="6"/>
      <c r="B292" s="8"/>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c r="A293" s="6"/>
      <c r="B293" s="8"/>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c r="A294" s="6"/>
      <c r="B294" s="8"/>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c r="A295" s="6"/>
      <c r="B295" s="8"/>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c r="A296" s="6"/>
      <c r="B296" s="8"/>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c r="A297" s="6"/>
      <c r="B297" s="8"/>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c r="A298" s="6"/>
      <c r="B298" s="8"/>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c r="A299" s="6"/>
      <c r="B299" s="8"/>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c r="A300" s="6"/>
      <c r="B300" s="8"/>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c r="A301" s="6"/>
      <c r="B301" s="8"/>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c r="A302" s="6"/>
      <c r="B302" s="8"/>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c r="A303" s="6"/>
      <c r="B303" s="8"/>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c r="A304" s="6"/>
      <c r="B304" s="8"/>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c r="A305" s="6"/>
      <c r="B305" s="8"/>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c r="A306" s="6"/>
      <c r="B306" s="8"/>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c r="A307" s="6"/>
      <c r="B307" s="8"/>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c r="A308" s="6"/>
      <c r="B308" s="8"/>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c r="A309" s="6"/>
      <c r="B309" s="8"/>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c r="A310" s="6"/>
      <c r="B310" s="8"/>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c r="A311" s="6"/>
      <c r="B311" s="8"/>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c r="A312" s="6"/>
      <c r="B312" s="8"/>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c r="A313" s="6"/>
      <c r="B313" s="8"/>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c r="A314" s="6"/>
      <c r="B314" s="8"/>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c r="A315" s="6"/>
      <c r="B315" s="8"/>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c r="A316" s="6"/>
      <c r="B316" s="8"/>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c r="A317" s="6"/>
      <c r="B317" s="8"/>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c r="A318" s="6"/>
      <c r="B318" s="8"/>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c r="A319" s="6"/>
      <c r="B319" s="8"/>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c r="A320" s="6"/>
      <c r="B320" s="8"/>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c r="A321" s="6"/>
      <c r="B321" s="8"/>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c r="A322" s="6"/>
      <c r="B322" s="8"/>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c r="A323" s="6"/>
      <c r="B323" s="8"/>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c r="A324" s="6"/>
      <c r="B324" s="8"/>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c r="A325" s="6"/>
      <c r="B325" s="8"/>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c r="A326" s="6"/>
      <c r="B326" s="8"/>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c r="A327" s="6"/>
      <c r="B327" s="8"/>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c r="A328" s="6"/>
      <c r="B328" s="8"/>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c r="A329" s="6"/>
      <c r="B329" s="8"/>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c r="A330" s="6"/>
      <c r="B330" s="8"/>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c r="A331" s="6"/>
      <c r="B331" s="8"/>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c r="A332" s="6"/>
      <c r="B332" s="8"/>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c r="A333" s="6"/>
      <c r="B333" s="8"/>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c r="A334" s="6"/>
      <c r="B334" s="8"/>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c r="A335" s="6"/>
      <c r="B335" s="8"/>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c r="A336" s="6"/>
      <c r="B336" s="8"/>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c r="A337" s="6"/>
      <c r="B337" s="8"/>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c r="A338" s="6"/>
      <c r="B338" s="8"/>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c r="A339" s="6"/>
      <c r="B339" s="8"/>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c r="A340" s="6"/>
      <c r="B340" s="8"/>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c r="A341" s="6"/>
      <c r="B341" s="8"/>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c r="A342" s="6"/>
      <c r="B342" s="8"/>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c r="A343" s="6"/>
      <c r="B343" s="8"/>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c r="A344" s="6"/>
      <c r="B344" s="8"/>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c r="A345" s="6"/>
      <c r="B345" s="8"/>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c r="A346" s="6"/>
      <c r="B346" s="8"/>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c r="A347" s="6"/>
      <c r="B347" s="8"/>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c r="A348" s="6"/>
      <c r="B348" s="8"/>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c r="A349" s="6"/>
      <c r="B349" s="8"/>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c r="A350" s="6"/>
      <c r="B350" s="8"/>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c r="A351" s="6"/>
      <c r="B351" s="8"/>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c r="A352" s="6"/>
      <c r="B352" s="8"/>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c r="A353" s="6"/>
      <c r="B353" s="8"/>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c r="A354" s="6"/>
      <c r="B354" s="8"/>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c r="A355" s="6"/>
      <c r="B355" s="8"/>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c r="A356" s="6"/>
      <c r="B356" s="8"/>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c r="A357" s="6"/>
      <c r="B357" s="8"/>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c r="A358" s="6"/>
      <c r="B358" s="8"/>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c r="A359" s="6"/>
      <c r="B359" s="8"/>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c r="A360" s="6"/>
      <c r="B360" s="8"/>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c r="A361" s="6"/>
      <c r="B361" s="8"/>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c r="A362" s="6"/>
      <c r="B362" s="8"/>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c r="A363" s="6"/>
      <c r="B363" s="8"/>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c r="A364" s="6"/>
      <c r="B364" s="8"/>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c r="A365" s="6"/>
      <c r="B365" s="8"/>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c r="A366" s="6"/>
      <c r="B366" s="8"/>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c r="A367" s="6"/>
      <c r="B367" s="8"/>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c r="A368" s="6"/>
      <c r="B368" s="8"/>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c r="A369" s="6"/>
      <c r="B369" s="8"/>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c r="A370" s="6"/>
      <c r="B370" s="8"/>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c r="A371" s="6"/>
      <c r="B371" s="8"/>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c r="A372" s="6"/>
      <c r="B372" s="8"/>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c r="A373" s="6"/>
      <c r="B373" s="8"/>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c r="A374" s="6"/>
      <c r="B374" s="8"/>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c r="A375" s="6"/>
      <c r="B375" s="8"/>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c r="A376" s="6"/>
      <c r="B376" s="8"/>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c r="A377" s="6"/>
      <c r="B377" s="8"/>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c r="A378" s="6"/>
      <c r="B378" s="8"/>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c r="A379" s="6"/>
      <c r="B379" s="8"/>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c r="A380" s="6"/>
      <c r="B380" s="8"/>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c r="A381" s="6"/>
      <c r="B381" s="8"/>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c r="A382" s="6"/>
      <c r="B382" s="8"/>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c r="A383" s="6"/>
      <c r="B383" s="8"/>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c r="A384" s="6"/>
      <c r="B384" s="8"/>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c r="A385" s="6"/>
      <c r="B385" s="8"/>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c r="A386" s="6"/>
      <c r="B386" s="8"/>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c r="A387" s="6"/>
      <c r="B387" s="8"/>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c r="A388" s="6"/>
      <c r="B388" s="8"/>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c r="A389" s="6"/>
      <c r="B389" s="8"/>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c r="A390" s="6"/>
      <c r="B390" s="8"/>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c r="A391" s="6"/>
      <c r="B391" s="8"/>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c r="A392" s="6"/>
      <c r="B392" s="8"/>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c r="A393" s="6"/>
      <c r="B393" s="8"/>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c r="A394" s="6"/>
      <c r="B394" s="8"/>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c r="A395" s="6"/>
      <c r="B395" s="8"/>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c r="A396" s="6"/>
      <c r="B396" s="8"/>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c r="A397" s="6"/>
      <c r="B397" s="8"/>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c r="A398" s="6"/>
      <c r="B398" s="8"/>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c r="A399" s="6"/>
      <c r="B399" s="8"/>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c r="A400" s="6"/>
      <c r="B400" s="8"/>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c r="A401" s="6"/>
      <c r="B401" s="8"/>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c r="A402" s="6"/>
      <c r="B402" s="8"/>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c r="A403" s="6"/>
      <c r="B403" s="8"/>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c r="A404" s="6"/>
      <c r="B404" s="8"/>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c r="A405" s="6"/>
      <c r="B405" s="8"/>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c r="A406" s="6"/>
      <c r="B406" s="8"/>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c r="A407" s="6"/>
      <c r="B407" s="8"/>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c r="A408" s="6"/>
      <c r="B408" s="8"/>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c r="A409" s="6"/>
      <c r="B409" s="8"/>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c r="A410" s="6"/>
      <c r="B410" s="8"/>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c r="A411" s="6"/>
      <c r="B411" s="8"/>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c r="A412" s="6"/>
      <c r="B412" s="8"/>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c r="A413" s="6"/>
      <c r="B413" s="8"/>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c r="A414" s="6"/>
      <c r="B414" s="8"/>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c r="A415" s="6"/>
      <c r="B415" s="8"/>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c r="A416" s="6"/>
      <c r="B416" s="8"/>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c r="A417" s="6"/>
      <c r="B417" s="8"/>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c r="A418" s="6"/>
      <c r="B418" s="8"/>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c r="A419" s="6"/>
      <c r="B419" s="8"/>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c r="A420" s="6"/>
      <c r="B420" s="8"/>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c r="A421" s="6"/>
      <c r="B421" s="8"/>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c r="A422" s="6"/>
      <c r="B422" s="8"/>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c r="A423" s="6"/>
      <c r="B423" s="8"/>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c r="A424" s="6"/>
      <c r="B424" s="8"/>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c r="A425" s="6"/>
      <c r="B425" s="8"/>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c r="A426" s="6"/>
      <c r="B426" s="8"/>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c r="A427" s="6"/>
      <c r="B427" s="8"/>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c r="A428" s="6"/>
      <c r="B428" s="8"/>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c r="A429" s="6"/>
      <c r="B429" s="8"/>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c r="A430" s="6"/>
      <c r="B430" s="8"/>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c r="A431" s="6"/>
      <c r="B431" s="8"/>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c r="A432" s="6"/>
      <c r="B432" s="8"/>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c r="A433" s="6"/>
      <c r="B433" s="8"/>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c r="A434" s="6"/>
      <c r="B434" s="8"/>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c r="A435" s="6"/>
      <c r="B435" s="8"/>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c r="A436" s="6"/>
      <c r="B436" s="8"/>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c r="A437" s="6"/>
      <c r="B437" s="8"/>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c r="A438" s="6"/>
      <c r="B438" s="8"/>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c r="A439" s="6"/>
      <c r="B439" s="8"/>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c r="A440" s="6"/>
      <c r="B440" s="8"/>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c r="A441" s="6"/>
      <c r="B441" s="8"/>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c r="A442" s="6"/>
      <c r="B442" s="8"/>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c r="A443" s="6"/>
      <c r="B443" s="8"/>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c r="A444" s="6"/>
      <c r="B444" s="8"/>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c r="A445" s="6"/>
      <c r="B445" s="8"/>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c r="A446" s="6"/>
      <c r="B446" s="8"/>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c r="A447" s="6"/>
      <c r="B447" s="8"/>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c r="A448" s="6"/>
      <c r="B448" s="8"/>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c r="A449" s="6"/>
      <c r="B449" s="8"/>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c r="A450" s="6"/>
      <c r="B450" s="8"/>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c r="A451" s="6"/>
      <c r="B451" s="8"/>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c r="A452" s="6"/>
      <c r="B452" s="8"/>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c r="A453" s="6"/>
      <c r="B453" s="8"/>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c r="A454" s="6"/>
      <c r="B454" s="8"/>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c r="A455" s="6"/>
      <c r="B455" s="8"/>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c r="A456" s="6"/>
      <c r="B456" s="8"/>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c r="A457" s="6"/>
      <c r="B457" s="8"/>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c r="A458" s="6"/>
      <c r="B458" s="8"/>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c r="A459" s="6"/>
      <c r="B459" s="8"/>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c r="A460" s="6"/>
      <c r="B460" s="8"/>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c r="A461" s="6"/>
      <c r="B461" s="8"/>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c r="A462" s="6"/>
      <c r="B462" s="8"/>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c r="A463" s="6"/>
      <c r="B463" s="8"/>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c r="A464" s="6"/>
      <c r="B464" s="8"/>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c r="A465" s="6"/>
      <c r="B465" s="8"/>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c r="A466" s="6"/>
      <c r="B466" s="8"/>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c r="A467" s="6"/>
      <c r="B467" s="8"/>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c r="A468" s="6"/>
      <c r="B468" s="8"/>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c r="A469" s="6"/>
      <c r="B469" s="8"/>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c r="A470" s="6"/>
      <c r="B470" s="8"/>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c r="A471" s="6"/>
      <c r="B471" s="8"/>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c r="A472" s="6"/>
      <c r="B472" s="8"/>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c r="A473" s="6"/>
      <c r="B473" s="8"/>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c r="A474" s="6"/>
      <c r="B474" s="8"/>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c r="A475" s="6"/>
      <c r="B475" s="8"/>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c r="A476" s="6"/>
      <c r="B476" s="8"/>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c r="A477" s="6"/>
      <c r="B477" s="8"/>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c r="A478" s="6"/>
      <c r="B478" s="8"/>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c r="A479" s="6"/>
      <c r="B479" s="8"/>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c r="A480" s="6"/>
      <c r="B480" s="8"/>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c r="A481" s="6"/>
      <c r="B481" s="8"/>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c r="A482" s="6"/>
      <c r="B482" s="8"/>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c r="A483" s="6"/>
      <c r="B483" s="8"/>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c r="A484" s="6"/>
      <c r="B484" s="8"/>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c r="A485" s="6"/>
      <c r="B485" s="8"/>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c r="A486" s="6"/>
      <c r="B486" s="8"/>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c r="A487" s="6"/>
      <c r="B487" s="8"/>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c r="A488" s="6"/>
      <c r="B488" s="8"/>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c r="A489" s="6"/>
      <c r="B489" s="8"/>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c r="A490" s="6"/>
      <c r="B490" s="8"/>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c r="A491" s="6"/>
      <c r="B491" s="8"/>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c r="A492" s="6"/>
      <c r="B492" s="8"/>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c r="A493" s="6"/>
      <c r="B493" s="8"/>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c r="A494" s="6"/>
      <c r="B494" s="8"/>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c r="A495" s="6"/>
      <c r="B495" s="8"/>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c r="A496" s="6"/>
      <c r="B496" s="8"/>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c r="A497" s="6"/>
      <c r="B497" s="8"/>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c r="A498" s="6"/>
      <c r="B498" s="8"/>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c r="A499" s="6"/>
      <c r="B499" s="8"/>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c r="A500" s="6"/>
      <c r="B500" s="8"/>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c r="A501" s="6"/>
      <c r="B501" s="8"/>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c r="A502" s="6"/>
      <c r="B502" s="8"/>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c r="A503" s="6"/>
      <c r="B503" s="8"/>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c r="A504" s="6"/>
      <c r="B504" s="8"/>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c r="A505" s="6"/>
      <c r="B505" s="8"/>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c r="A506" s="6"/>
      <c r="B506" s="8"/>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c r="A507" s="6"/>
      <c r="B507" s="8"/>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c r="A508" s="6"/>
      <c r="B508" s="8"/>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c r="A509" s="6"/>
      <c r="B509" s="8"/>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c r="A510" s="6"/>
      <c r="B510" s="8"/>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c r="A511" s="6"/>
      <c r="B511" s="8"/>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c r="A512" s="6"/>
      <c r="B512" s="8"/>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c r="A513" s="6"/>
      <c r="B513" s="8"/>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c r="A514" s="6"/>
      <c r="B514" s="8"/>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c r="A515" s="6"/>
      <c r="B515" s="8"/>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c r="A516" s="6"/>
      <c r="B516" s="8"/>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c r="A517" s="6"/>
      <c r="B517" s="8"/>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c r="A518" s="6"/>
      <c r="B518" s="8"/>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c r="A519" s="6"/>
      <c r="B519" s="8"/>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c r="A520" s="6"/>
      <c r="B520" s="8"/>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c r="A521" s="6"/>
      <c r="B521" s="8"/>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c r="A522" s="6"/>
      <c r="B522" s="8"/>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c r="A523" s="6"/>
      <c r="B523" s="8"/>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c r="A524" s="6"/>
      <c r="B524" s="8"/>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c r="A525" s="6"/>
      <c r="B525" s="8"/>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c r="A526" s="6"/>
      <c r="B526" s="8"/>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c r="A527" s="6"/>
      <c r="B527" s="8"/>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c r="A528" s="6"/>
      <c r="B528" s="8"/>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c r="A529" s="6"/>
      <c r="B529" s="8"/>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c r="A530" s="6"/>
      <c r="B530" s="8"/>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c r="A531" s="6"/>
      <c r="B531" s="8"/>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c r="A532" s="6"/>
      <c r="B532" s="8"/>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c r="A533" s="6"/>
      <c r="B533" s="8"/>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c r="A534" s="6"/>
      <c r="B534" s="8"/>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c r="A535" s="6"/>
      <c r="B535" s="8"/>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c r="A536" s="6"/>
      <c r="B536" s="8"/>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c r="A537" s="6"/>
      <c r="B537" s="8"/>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c r="A538" s="6"/>
      <c r="B538" s="8"/>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c r="A539" s="6"/>
      <c r="B539" s="8"/>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c r="A540" s="6"/>
      <c r="B540" s="8"/>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c r="A541" s="6"/>
      <c r="B541" s="8"/>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c r="A542" s="6"/>
      <c r="B542" s="8"/>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c r="A543" s="6"/>
      <c r="B543" s="8"/>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c r="A544" s="6"/>
      <c r="B544" s="8"/>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c r="A545" s="6"/>
      <c r="B545" s="8"/>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c r="A546" s="6"/>
      <c r="B546" s="8"/>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c r="A547" s="6"/>
      <c r="B547" s="8"/>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c r="A548" s="6"/>
      <c r="B548" s="8"/>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c r="A549" s="6"/>
      <c r="B549" s="8"/>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c r="A550" s="6"/>
      <c r="B550" s="8"/>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c r="A551" s="6"/>
      <c r="B551" s="8"/>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c r="A552" s="6"/>
      <c r="B552" s="8"/>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c r="A553" s="6"/>
      <c r="B553" s="8"/>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c r="A554" s="6"/>
      <c r="B554" s="8"/>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c r="A555" s="6"/>
      <c r="B555" s="8"/>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c r="A556" s="6"/>
      <c r="B556" s="8"/>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c r="A557" s="6"/>
      <c r="B557" s="8"/>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c r="A558" s="6"/>
      <c r="B558" s="8"/>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c r="A559" s="6"/>
      <c r="B559" s="8"/>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c r="A560" s="6"/>
      <c r="B560" s="8"/>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c r="A561" s="6"/>
      <c r="B561" s="8"/>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c r="A562" s="6"/>
      <c r="B562" s="8"/>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c r="A563" s="6"/>
      <c r="B563" s="8"/>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c r="A564" s="6"/>
      <c r="B564" s="8"/>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c r="A565" s="6"/>
      <c r="B565" s="8"/>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c r="A566" s="6"/>
      <c r="B566" s="8"/>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c r="A567" s="6"/>
      <c r="B567" s="8"/>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c r="A568" s="6"/>
      <c r="B568" s="8"/>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c r="A569" s="6"/>
      <c r="B569" s="8"/>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c r="A570" s="6"/>
      <c r="B570" s="8"/>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c r="A571" s="6"/>
      <c r="B571" s="8"/>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c r="A572" s="6"/>
      <c r="B572" s="8"/>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c r="A573" s="6"/>
      <c r="B573" s="8"/>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c r="A574" s="6"/>
      <c r="B574" s="8"/>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c r="A575" s="6"/>
      <c r="B575" s="8"/>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c r="A576" s="6"/>
      <c r="B576" s="8"/>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c r="A577" s="6"/>
      <c r="B577" s="8"/>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c r="A578" s="6"/>
      <c r="B578" s="8"/>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c r="A579" s="6"/>
      <c r="B579" s="8"/>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c r="A580" s="6"/>
      <c r="B580" s="8"/>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c r="A581" s="6"/>
      <c r="B581" s="8"/>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c r="A582" s="6"/>
      <c r="B582" s="8"/>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c r="A583" s="6"/>
      <c r="B583" s="8"/>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c r="A584" s="6"/>
      <c r="B584" s="8"/>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c r="A585" s="6"/>
      <c r="B585" s="8"/>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c r="A586" s="6"/>
      <c r="B586" s="8"/>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c r="A587" s="6"/>
      <c r="B587" s="8"/>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c r="A588" s="6"/>
      <c r="B588" s="8"/>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c r="A589" s="6"/>
      <c r="B589" s="8"/>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c r="A590" s="6"/>
      <c r="B590" s="8"/>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c r="A591" s="6"/>
      <c r="B591" s="8"/>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c r="A592" s="6"/>
      <c r="B592" s="8"/>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c r="A593" s="6"/>
      <c r="B593" s="8"/>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c r="A594" s="6"/>
      <c r="B594" s="8"/>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c r="A595" s="6"/>
      <c r="B595" s="8"/>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c r="A596" s="6"/>
      <c r="B596" s="8"/>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c r="A597" s="6"/>
      <c r="B597" s="8"/>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c r="A598" s="6"/>
      <c r="B598" s="8"/>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c r="A599" s="6"/>
      <c r="B599" s="8"/>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c r="A600" s="6"/>
      <c r="B600" s="8"/>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c r="A601" s="6"/>
      <c r="B601" s="8"/>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c r="A602" s="6"/>
      <c r="B602" s="8"/>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c r="A603" s="6"/>
      <c r="B603" s="8"/>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c r="A604" s="6"/>
      <c r="B604" s="8"/>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c r="A605" s="6"/>
      <c r="B605" s="8"/>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c r="A606" s="6"/>
      <c r="B606" s="8"/>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c r="A607" s="6"/>
      <c r="B607" s="8"/>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c r="A608" s="6"/>
      <c r="B608" s="8"/>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c r="A609" s="6"/>
      <c r="B609" s="8"/>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c r="A610" s="6"/>
      <c r="B610" s="8"/>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c r="A611" s="6"/>
      <c r="B611" s="8"/>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c r="A612" s="6"/>
      <c r="B612" s="8"/>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c r="A613" s="6"/>
      <c r="B613" s="8"/>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c r="A614" s="6"/>
      <c r="B614" s="8"/>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c r="A615" s="6"/>
      <c r="B615" s="8"/>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c r="A616" s="6"/>
      <c r="B616" s="8"/>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c r="A617" s="6"/>
      <c r="B617" s="8"/>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c r="A618" s="6"/>
      <c r="B618" s="8"/>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c r="A619" s="6"/>
      <c r="B619" s="8"/>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c r="A620" s="6"/>
      <c r="B620" s="8"/>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c r="A621" s="6"/>
      <c r="B621" s="8"/>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c r="A622" s="6"/>
      <c r="B622" s="8"/>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c r="A623" s="6"/>
      <c r="B623" s="8"/>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c r="A624" s="6"/>
      <c r="B624" s="8"/>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c r="A625" s="6"/>
      <c r="B625" s="8"/>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c r="A626" s="6"/>
      <c r="B626" s="8"/>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c r="A627" s="6"/>
      <c r="B627" s="8"/>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c r="A628" s="6"/>
      <c r="B628" s="8"/>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c r="A629" s="6"/>
      <c r="B629" s="8"/>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c r="A630" s="6"/>
      <c r="B630" s="8"/>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c r="A631" s="6"/>
      <c r="B631" s="8"/>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c r="A632" s="6"/>
      <c r="B632" s="8"/>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c r="A633" s="6"/>
      <c r="B633" s="8"/>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c r="A634" s="6"/>
      <c r="B634" s="8"/>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c r="A635" s="6"/>
      <c r="B635" s="8"/>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c r="A636" s="6"/>
      <c r="B636" s="8"/>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c r="A637" s="6"/>
      <c r="B637" s="8"/>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c r="A638" s="6"/>
      <c r="B638" s="8"/>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c r="A639" s="6"/>
      <c r="B639" s="8"/>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c r="A640" s="6"/>
      <c r="B640" s="8"/>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c r="A641" s="6"/>
      <c r="B641" s="8"/>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c r="A642" s="6"/>
      <c r="B642" s="8"/>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c r="A643" s="6"/>
      <c r="B643" s="8"/>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c r="A644" s="6"/>
      <c r="B644" s="8"/>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c r="A645" s="6"/>
      <c r="B645" s="8"/>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c r="A646" s="6"/>
      <c r="B646" s="8"/>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c r="A647" s="6"/>
      <c r="B647" s="8"/>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c r="A648" s="6"/>
      <c r="B648" s="8"/>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c r="A649" s="6"/>
      <c r="B649" s="8"/>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c r="A650" s="6"/>
      <c r="B650" s="8"/>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c r="A651" s="6"/>
      <c r="B651" s="8"/>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c r="A652" s="6"/>
      <c r="B652" s="8"/>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c r="A653" s="6"/>
      <c r="B653" s="8"/>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c r="A654" s="6"/>
      <c r="B654" s="8"/>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c r="A655" s="6"/>
      <c r="B655" s="8"/>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c r="A656" s="6"/>
      <c r="B656" s="8"/>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c r="A657" s="6"/>
      <c r="B657" s="8"/>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c r="A658" s="6"/>
      <c r="B658" s="8"/>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c r="A659" s="6"/>
      <c r="B659" s="8"/>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c r="A660" s="6"/>
      <c r="B660" s="8"/>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c r="A661" s="6"/>
      <c r="B661" s="8"/>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c r="A662" s="6"/>
      <c r="B662" s="8"/>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c r="A663" s="6"/>
      <c r="B663" s="8"/>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c r="A664" s="6"/>
      <c r="B664" s="8"/>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c r="A665" s="6"/>
      <c r="B665" s="8"/>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c r="A666" s="6"/>
      <c r="B666" s="8"/>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c r="A667" s="6"/>
      <c r="B667" s="8"/>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c r="A668" s="6"/>
      <c r="B668" s="8"/>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c r="A669" s="6"/>
      <c r="B669" s="8"/>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c r="A670" s="6"/>
      <c r="B670" s="8"/>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c r="A671" s="6"/>
      <c r="B671" s="8"/>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c r="A672" s="6"/>
      <c r="B672" s="8"/>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c r="A673" s="6"/>
      <c r="B673" s="8"/>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c r="A674" s="6"/>
      <c r="B674" s="8"/>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c r="A675" s="6"/>
      <c r="B675" s="8"/>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c r="A676" s="6"/>
      <c r="B676" s="8"/>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c r="A677" s="6"/>
      <c r="B677" s="8"/>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c r="A678" s="6"/>
      <c r="B678" s="8"/>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c r="A679" s="6"/>
      <c r="B679" s="8"/>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c r="A680" s="6"/>
      <c r="B680" s="8"/>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c r="A681" s="6"/>
      <c r="B681" s="8"/>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c r="A682" s="6"/>
      <c r="B682" s="8"/>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c r="A683" s="6"/>
      <c r="B683" s="8"/>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c r="A684" s="6"/>
      <c r="B684" s="8"/>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c r="A685" s="6"/>
      <c r="B685" s="8"/>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c r="A686" s="6"/>
      <c r="B686" s="8"/>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c r="A687" s="6"/>
      <c r="B687" s="8"/>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c r="A688" s="6"/>
      <c r="B688" s="8"/>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c r="A689" s="6"/>
      <c r="B689" s="8"/>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c r="A690" s="6"/>
      <c r="B690" s="8"/>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c r="A691" s="6"/>
      <c r="B691" s="8"/>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c r="A692" s="6"/>
      <c r="B692" s="8"/>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c r="A693" s="6"/>
      <c r="B693" s="8"/>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c r="A694" s="6"/>
      <c r="B694" s="8"/>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c r="A695" s="6"/>
      <c r="B695" s="8"/>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c r="A696" s="6"/>
      <c r="B696" s="8"/>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c r="A697" s="6"/>
      <c r="B697" s="8"/>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c r="A698" s="6"/>
      <c r="B698" s="8"/>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c r="A699" s="6"/>
      <c r="B699" s="8"/>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c r="A700" s="6"/>
      <c r="B700" s="8"/>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c r="A701" s="6"/>
      <c r="B701" s="8"/>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c r="A702" s="6"/>
      <c r="B702" s="8"/>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c r="A703" s="6"/>
      <c r="B703" s="8"/>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c r="A704" s="6"/>
      <c r="B704" s="8"/>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c r="A705" s="6"/>
      <c r="B705" s="8"/>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c r="A706" s="6"/>
      <c r="B706" s="8"/>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c r="A707" s="6"/>
      <c r="B707" s="8"/>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c r="A708" s="6"/>
      <c r="B708" s="8"/>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c r="A709" s="6"/>
      <c r="B709" s="8"/>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c r="A710" s="6"/>
      <c r="B710" s="8"/>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c r="A711" s="6"/>
      <c r="B711" s="8"/>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c r="A712" s="6"/>
      <c r="B712" s="8"/>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c r="A713" s="6"/>
      <c r="B713" s="8"/>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c r="A714" s="6"/>
      <c r="B714" s="8"/>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c r="A715" s="6"/>
      <c r="B715" s="8"/>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c r="A716" s="6"/>
      <c r="B716" s="8"/>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c r="A717" s="6"/>
      <c r="B717" s="8"/>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c r="A718" s="6"/>
      <c r="B718" s="8"/>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c r="A719" s="6"/>
      <c r="B719" s="8"/>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c r="A720" s="6"/>
      <c r="B720" s="8"/>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c r="A721" s="6"/>
      <c r="B721" s="8"/>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c r="A722" s="6"/>
      <c r="B722" s="8"/>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c r="A723" s="6"/>
      <c r="B723" s="8"/>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c r="A724" s="6"/>
      <c r="B724" s="8"/>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c r="A725" s="6"/>
      <c r="B725" s="8"/>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c r="A726" s="6"/>
      <c r="B726" s="8"/>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c r="A727" s="6"/>
      <c r="B727" s="8"/>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c r="A728" s="6"/>
      <c r="B728" s="8"/>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c r="A729" s="6"/>
      <c r="B729" s="8"/>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c r="A730" s="6"/>
      <c r="B730" s="8"/>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c r="A731" s="6"/>
      <c r="B731" s="8"/>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c r="A732" s="6"/>
      <c r="B732" s="8"/>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c r="A733" s="6"/>
      <c r="B733" s="8"/>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c r="A734" s="6"/>
      <c r="B734" s="8"/>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c r="A735" s="6"/>
      <c r="B735" s="8"/>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c r="A736" s="6"/>
      <c r="B736" s="8"/>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c r="A737" s="6"/>
      <c r="B737" s="8"/>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c r="A738" s="6"/>
      <c r="B738" s="8"/>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c r="A739" s="6"/>
      <c r="B739" s="8"/>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c r="A740" s="6"/>
      <c r="B740" s="8"/>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c r="A741" s="6"/>
      <c r="B741" s="8"/>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c r="A742" s="6"/>
      <c r="B742" s="8"/>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c r="A743" s="6"/>
      <c r="B743" s="8"/>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c r="A744" s="6"/>
      <c r="B744" s="8"/>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c r="A745" s="6"/>
      <c r="B745" s="8"/>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c r="A746" s="6"/>
      <c r="B746" s="8"/>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c r="A747" s="6"/>
      <c r="B747" s="8"/>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c r="A748" s="6"/>
      <c r="B748" s="8"/>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c r="A749" s="6"/>
      <c r="B749" s="8"/>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c r="A750" s="6"/>
      <c r="B750" s="8"/>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c r="A751" s="6"/>
      <c r="B751" s="8"/>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c r="A752" s="6"/>
      <c r="B752" s="8"/>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c r="A753" s="6"/>
      <c r="B753" s="8"/>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c r="A754" s="6"/>
      <c r="B754" s="8"/>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c r="A755" s="6"/>
      <c r="B755" s="8"/>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c r="A756" s="6"/>
      <c r="B756" s="8"/>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c r="A757" s="6"/>
      <c r="B757" s="8"/>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c r="A758" s="6"/>
      <c r="B758" s="8"/>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c r="A759" s="6"/>
      <c r="B759" s="8"/>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c r="A760" s="6"/>
      <c r="B760" s="8"/>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c r="A761" s="6"/>
      <c r="B761" s="8"/>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c r="A762" s="6"/>
      <c r="B762" s="8"/>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c r="A763" s="6"/>
      <c r="B763" s="8"/>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c r="A764" s="6"/>
      <c r="B764" s="8"/>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c r="A765" s="6"/>
      <c r="B765" s="8"/>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c r="A766" s="6"/>
      <c r="B766" s="8"/>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c r="A767" s="6"/>
      <c r="B767" s="8"/>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c r="A768" s="6"/>
      <c r="B768" s="8"/>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c r="A769" s="6"/>
      <c r="B769" s="8"/>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c r="A770" s="6"/>
      <c r="B770" s="8"/>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c r="A771" s="6"/>
      <c r="B771" s="8"/>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c r="A772" s="6"/>
      <c r="B772" s="8"/>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c r="A773" s="6"/>
      <c r="B773" s="8"/>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c r="A774" s="6"/>
      <c r="B774" s="8"/>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c r="A775" s="6"/>
      <c r="B775" s="8"/>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c r="A776" s="6"/>
      <c r="B776" s="8"/>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c r="A777" s="6"/>
      <c r="B777" s="8"/>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c r="A778" s="6"/>
      <c r="B778" s="8"/>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c r="A779" s="6"/>
      <c r="B779" s="8"/>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c r="A780" s="6"/>
      <c r="B780" s="8"/>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c r="A781" s="6"/>
      <c r="B781" s="8"/>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c r="A782" s="6"/>
      <c r="B782" s="8"/>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c r="A783" s="6"/>
      <c r="B783" s="8"/>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c r="A784" s="6"/>
      <c r="B784" s="8"/>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c r="A785" s="6"/>
      <c r="B785" s="8"/>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c r="A786" s="6"/>
      <c r="B786" s="8"/>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c r="A787" s="6"/>
      <c r="B787" s="8"/>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c r="A788" s="6"/>
      <c r="B788" s="8"/>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c r="A789" s="6"/>
      <c r="B789" s="8"/>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c r="A790" s="6"/>
      <c r="B790" s="8"/>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c r="A791" s="6"/>
      <c r="B791" s="8"/>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c r="A792" s="6"/>
      <c r="B792" s="8"/>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c r="A793" s="6"/>
      <c r="B793" s="8"/>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c r="A794" s="6"/>
      <c r="B794" s="8"/>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c r="A795" s="6"/>
      <c r="B795" s="8"/>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c r="A796" s="6"/>
      <c r="B796" s="8"/>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c r="A797" s="6"/>
      <c r="B797" s="8"/>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c r="A798" s="6"/>
      <c r="B798" s="8"/>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c r="A799" s="6"/>
      <c r="B799" s="8"/>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c r="A800" s="6"/>
      <c r="B800" s="8"/>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c r="A801" s="6"/>
      <c r="B801" s="8"/>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c r="A802" s="6"/>
      <c r="B802" s="8"/>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c r="A803" s="6"/>
      <c r="B803" s="8"/>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c r="A804" s="6"/>
      <c r="B804" s="8"/>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c r="A805" s="6"/>
      <c r="B805" s="8"/>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c r="A806" s="6"/>
      <c r="B806" s="8"/>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c r="A807" s="6"/>
      <c r="B807" s="8"/>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c r="A808" s="6"/>
      <c r="B808" s="8"/>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c r="A809" s="6"/>
      <c r="B809" s="8"/>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c r="A810" s="6"/>
      <c r="B810" s="8"/>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c r="A811" s="6"/>
      <c r="B811" s="8"/>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c r="A812" s="6"/>
      <c r="B812" s="8"/>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c r="A813" s="6"/>
      <c r="B813" s="8"/>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c r="A814" s="6"/>
      <c r="B814" s="8"/>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c r="A815" s="6"/>
      <c r="B815" s="8"/>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c r="A816" s="6"/>
      <c r="B816" s="8"/>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c r="A817" s="6"/>
      <c r="B817" s="8"/>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c r="A818" s="6"/>
      <c r="B818" s="8"/>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c r="A819" s="6"/>
      <c r="B819" s="8"/>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c r="A820" s="6"/>
      <c r="B820" s="8"/>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c r="A821" s="6"/>
      <c r="B821" s="8"/>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c r="A822" s="6"/>
      <c r="B822" s="8"/>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c r="A823" s="6"/>
      <c r="B823" s="8"/>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c r="A824" s="6"/>
      <c r="B824" s="8"/>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c r="A825" s="6"/>
      <c r="B825" s="8"/>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c r="A826" s="6"/>
      <c r="B826" s="8"/>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c r="A827" s="6"/>
      <c r="B827" s="8"/>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c r="A828" s="6"/>
      <c r="B828" s="8"/>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c r="A829" s="6"/>
      <c r="B829" s="8"/>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c r="A830" s="6"/>
      <c r="B830" s="8"/>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c r="A831" s="6"/>
      <c r="B831" s="8"/>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c r="A832" s="6"/>
      <c r="B832" s="8"/>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c r="A833" s="6"/>
      <c r="B833" s="8"/>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c r="A834" s="6"/>
      <c r="B834" s="8"/>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c r="A835" s="6"/>
      <c r="B835" s="8"/>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c r="A836" s="6"/>
      <c r="B836" s="8"/>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c r="A837" s="6"/>
      <c r="B837" s="8"/>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c r="A838" s="6"/>
      <c r="B838" s="8"/>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c r="A839" s="6"/>
      <c r="B839" s="8"/>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c r="A840" s="6"/>
      <c r="B840" s="8"/>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c r="A841" s="6"/>
      <c r="B841" s="8"/>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c r="A842" s="6"/>
      <c r="B842" s="8"/>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c r="A843" s="6"/>
      <c r="B843" s="8"/>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c r="A844" s="6"/>
      <c r="B844" s="8"/>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c r="A845" s="6"/>
      <c r="B845" s="8"/>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c r="A846" s="6"/>
      <c r="B846" s="8"/>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c r="A847" s="6"/>
      <c r="B847" s="8"/>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c r="A848" s="6"/>
      <c r="B848" s="8"/>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c r="A849" s="6"/>
      <c r="B849" s="8"/>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c r="A850" s="6"/>
      <c r="B850" s="8"/>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c r="A851" s="6"/>
      <c r="B851" s="8"/>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c r="A852" s="6"/>
      <c r="B852" s="8"/>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c r="A853" s="6"/>
      <c r="B853" s="8"/>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c r="A854" s="6"/>
      <c r="B854" s="8"/>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c r="A855" s="6"/>
      <c r="B855" s="8"/>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c r="A856" s="6"/>
      <c r="B856" s="8"/>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c r="A857" s="6"/>
      <c r="B857" s="8"/>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c r="A858" s="6"/>
      <c r="B858" s="8"/>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c r="A859" s="6"/>
      <c r="B859" s="8"/>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c r="A860" s="6"/>
      <c r="B860" s="8"/>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c r="A861" s="6"/>
      <c r="B861" s="8"/>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c r="A862" s="6"/>
      <c r="B862" s="8"/>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c r="A863" s="6"/>
      <c r="B863" s="8"/>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c r="A864" s="6"/>
      <c r="B864" s="8"/>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c r="A865" s="6"/>
      <c r="B865" s="8"/>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c r="A866" s="6"/>
      <c r="B866" s="8"/>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c r="A867" s="6"/>
      <c r="B867" s="8"/>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c r="A868" s="6"/>
      <c r="B868" s="8"/>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c r="A869" s="6"/>
      <c r="B869" s="8"/>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c r="A870" s="6"/>
      <c r="B870" s="8"/>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c r="A871" s="6"/>
      <c r="B871" s="8"/>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c r="A872" s="6"/>
      <c r="B872" s="8"/>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c r="A873" s="6"/>
      <c r="B873" s="8"/>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c r="A874" s="6"/>
      <c r="B874" s="8"/>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c r="A875" s="6"/>
      <c r="B875" s="8"/>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c r="A876" s="6"/>
      <c r="B876" s="8"/>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c r="A877" s="6"/>
      <c r="B877" s="8"/>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c r="A878" s="6"/>
      <c r="B878" s="8"/>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c r="A879" s="6"/>
      <c r="B879" s="8"/>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c r="A880" s="6"/>
      <c r="B880" s="8"/>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c r="A881" s="6"/>
      <c r="B881" s="8"/>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c r="A882" s="6"/>
      <c r="B882" s="8"/>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c r="A883" s="6"/>
      <c r="B883" s="8"/>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c r="A884" s="6"/>
      <c r="B884" s="8"/>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c r="A885" s="6"/>
      <c r="B885" s="8"/>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c r="A886" s="6"/>
      <c r="B886" s="8"/>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c r="A887" s="6"/>
      <c r="B887" s="8"/>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c r="A888" s="6"/>
      <c r="B888" s="8"/>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c r="A889" s="6"/>
      <c r="B889" s="8"/>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c r="A890" s="6"/>
      <c r="B890" s="8"/>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c r="A891" s="6"/>
      <c r="B891" s="8"/>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c r="A892" s="6"/>
      <c r="B892" s="8"/>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c r="A893" s="6"/>
      <c r="B893" s="8"/>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c r="A894" s="6"/>
      <c r="B894" s="8"/>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c r="A895" s="6"/>
      <c r="B895" s="8"/>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c r="A896" s="6"/>
      <c r="B896" s="8"/>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c r="A897" s="6"/>
      <c r="B897" s="8"/>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c r="A898" s="6"/>
      <c r="B898" s="8"/>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c r="A899" s="6"/>
      <c r="B899" s="8"/>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c r="A900" s="6"/>
      <c r="B900" s="8"/>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c r="A901" s="6"/>
      <c r="B901" s="8"/>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c r="A902" s="6"/>
      <c r="B902" s="8"/>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c r="A903" s="6"/>
      <c r="B903" s="8"/>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c r="A904" s="6"/>
      <c r="B904" s="8"/>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c r="A905" s="6"/>
      <c r="B905" s="8"/>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c r="A906" s="6"/>
      <c r="B906" s="8"/>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c r="A907" s="6"/>
      <c r="B907" s="8"/>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c r="A908" s="6"/>
      <c r="B908" s="8"/>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c r="A909" s="6"/>
      <c r="B909" s="8"/>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c r="A910" s="6"/>
      <c r="B910" s="8"/>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c r="A911" s="6"/>
      <c r="B911" s="8"/>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c r="A912" s="6"/>
      <c r="B912" s="8"/>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c r="A913" s="6"/>
      <c r="B913" s="8"/>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c r="A914" s="6"/>
      <c r="B914" s="8"/>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c r="A915" s="6"/>
      <c r="B915" s="8"/>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c r="A916" s="6"/>
      <c r="B916" s="8"/>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c r="A917" s="6"/>
      <c r="B917" s="8"/>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c r="A918" s="6"/>
      <c r="B918" s="8"/>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c r="A919" s="6"/>
      <c r="B919" s="8"/>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c r="A920" s="6"/>
      <c r="B920" s="8"/>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c r="A921" s="6"/>
      <c r="B921" s="8"/>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c r="A922" s="6"/>
      <c r="B922" s="8"/>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c r="A923" s="6"/>
      <c r="B923" s="8"/>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c r="A924" s="6"/>
      <c r="B924" s="8"/>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c r="A925" s="6"/>
      <c r="B925" s="8"/>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c r="A926" s="6"/>
      <c r="B926" s="8"/>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c r="A927" s="6"/>
      <c r="B927" s="8"/>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c r="A928" s="6"/>
      <c r="B928" s="8"/>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c r="A929" s="6"/>
      <c r="B929" s="8"/>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c r="A930" s="6"/>
      <c r="B930" s="8"/>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c r="A931" s="6"/>
      <c r="B931" s="8"/>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c r="A932" s="6"/>
      <c r="B932" s="8"/>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c r="A933" s="6"/>
      <c r="B933" s="8"/>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c r="A934" s="6"/>
      <c r="B934" s="8"/>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c r="A935" s="6"/>
      <c r="B935" s="8"/>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c r="A936" s="6"/>
      <c r="B936" s="8"/>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c r="A937" s="6"/>
      <c r="B937" s="8"/>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c r="A938" s="6"/>
      <c r="B938" s="8"/>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c r="A939" s="6"/>
      <c r="B939" s="8"/>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c r="A940" s="6"/>
      <c r="B940" s="8"/>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c r="A941" s="6"/>
      <c r="B941" s="8"/>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c r="A942" s="6"/>
      <c r="B942" s="8"/>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c r="A943" s="6"/>
      <c r="B943" s="8"/>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c r="A944" s="6"/>
      <c r="B944" s="8"/>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c r="A945" s="6"/>
      <c r="B945" s="8"/>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c r="A946" s="6"/>
      <c r="B946" s="8"/>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c r="A947" s="6"/>
      <c r="B947" s="8"/>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c r="A948" s="6"/>
      <c r="B948" s="8"/>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c r="A949" s="6"/>
      <c r="B949" s="8"/>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c r="A950" s="6"/>
      <c r="B950" s="8"/>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c r="A951" s="6"/>
      <c r="B951" s="8"/>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c r="A952" s="6"/>
      <c r="B952" s="8"/>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c r="A953" s="6"/>
      <c r="B953" s="8"/>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c r="A954" s="6"/>
      <c r="B954" s="8"/>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c r="A955" s="6"/>
      <c r="B955" s="8"/>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c r="A956" s="6"/>
      <c r="B956" s="8"/>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c r="A957" s="6"/>
      <c r="B957" s="8"/>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c r="A958" s="6"/>
      <c r="B958" s="8"/>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c r="A959" s="6"/>
      <c r="B959" s="8"/>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c r="A960" s="6"/>
      <c r="B960" s="8"/>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c r="A961" s="6"/>
      <c r="B961" s="8"/>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c r="A962" s="6"/>
      <c r="B962" s="8"/>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c r="A963" s="6"/>
      <c r="B963" s="8"/>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c r="A964" s="6"/>
      <c r="B964" s="8"/>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c r="A965" s="6"/>
      <c r="B965" s="8"/>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c r="A966" s="6"/>
      <c r="B966" s="8"/>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c r="A967" s="6"/>
      <c r="B967" s="8"/>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c r="A968" s="6"/>
      <c r="B968" s="8"/>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c r="A969" s="6"/>
      <c r="B969" s="8"/>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c r="A970" s="6"/>
      <c r="B970" s="8"/>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c r="A971" s="6"/>
      <c r="B971" s="8"/>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5.75" customHeight="1">
      <c r="A972" s="6"/>
      <c r="B972" s="8"/>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5.75" customHeight="1">
      <c r="A973" s="6"/>
      <c r="B973" s="8"/>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5.75" customHeight="1">
      <c r="A974" s="6"/>
      <c r="B974" s="8"/>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5.75" customHeight="1">
      <c r="A975" s="6"/>
      <c r="B975" s="8"/>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5.75" customHeight="1">
      <c r="A976" s="6"/>
      <c r="B976" s="8"/>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5.75" customHeight="1">
      <c r="A977" s="6"/>
      <c r="B977" s="8"/>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5.75" customHeight="1">
      <c r="A978" s="6"/>
      <c r="B978" s="8"/>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5.75" customHeight="1">
      <c r="A979" s="6"/>
      <c r="B979" s="8"/>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5.75" customHeight="1">
      <c r="A980" s="6"/>
      <c r="B980" s="8"/>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5.75" customHeight="1">
      <c r="A981" s="6"/>
      <c r="B981" s="8"/>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5.75" customHeight="1">
      <c r="A982" s="6"/>
      <c r="B982" s="8"/>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5.75" customHeight="1">
      <c r="A983" s="6"/>
      <c r="B983" s="8"/>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5.75" customHeight="1">
      <c r="A984" s="6"/>
      <c r="B984" s="8"/>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5.75" customHeight="1">
      <c r="A985" s="6"/>
      <c r="B985" s="8"/>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5.75" customHeight="1">
      <c r="A986" s="6"/>
      <c r="B986" s="8"/>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5.75" customHeight="1">
      <c r="A987" s="6"/>
      <c r="B987" s="8"/>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5.75" customHeight="1">
      <c r="A988" s="6"/>
      <c r="B988" s="8"/>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5.75" customHeight="1">
      <c r="A989" s="6"/>
      <c r="B989" s="8"/>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5.75" customHeight="1">
      <c r="A990" s="6"/>
      <c r="B990" s="8"/>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5.75" customHeight="1">
      <c r="A991" s="6"/>
      <c r="B991" s="8"/>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5.75" customHeight="1">
      <c r="A992" s="6"/>
      <c r="B992" s="8"/>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5.75" customHeight="1">
      <c r="A993" s="6"/>
      <c r="B993" s="8"/>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5.75" customHeight="1">
      <c r="A994" s="6"/>
      <c r="B994" s="8"/>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5.75" customHeight="1">
      <c r="A995" s="6"/>
      <c r="B995" s="8"/>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5.75" customHeight="1">
      <c r="A996" s="6"/>
      <c r="B996" s="8"/>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5.75" customHeight="1">
      <c r="A997" s="6"/>
      <c r="B997" s="8"/>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5.75" customHeight="1">
      <c r="A998" s="6"/>
      <c r="B998" s="8"/>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5.75" customHeight="1">
      <c r="A999" s="6"/>
      <c r="B999" s="8"/>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5.75" customHeight="1">
      <c r="A1000" s="6"/>
      <c r="B1000" s="8"/>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spans="1:27" ht="15.75" customHeight="1">
      <c r="A1001" s="6"/>
      <c r="B1001" s="8"/>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spans="1:27" ht="15.75" customHeight="1">
      <c r="A1002" s="6"/>
      <c r="B1002" s="8"/>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spans="1:27" ht="15.75" customHeight="1">
      <c r="A1003" s="6"/>
      <c r="B1003" s="8"/>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conditionalFormatting sqref="D1:D1003">
    <cfRule type="cellIs" dxfId="1" priority="1" operator="greaterThan">
      <formula>300</formula>
    </cfRule>
  </conditionalFormatting>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70"/>
  <sheetViews>
    <sheetView workbookViewId="0">
      <pane ySplit="1" topLeftCell="A109" activePane="bottomLeft" state="frozen"/>
      <selection pane="bottomLeft" activeCell="A109" sqref="A109"/>
    </sheetView>
  </sheetViews>
  <sheetFormatPr defaultColWidth="12.7109375" defaultRowHeight="15" customHeight="1"/>
  <cols>
    <col min="1" max="1" width="40.28515625" customWidth="1"/>
    <col min="2" max="2" width="73.85546875" customWidth="1"/>
    <col min="3" max="3" width="18.28515625" customWidth="1"/>
    <col min="4" max="4" width="3.85546875" customWidth="1"/>
    <col min="5" max="5" width="8.28515625" customWidth="1"/>
    <col min="6" max="27" width="12.42578125" customWidth="1"/>
  </cols>
  <sheetData>
    <row r="1" spans="1:5" ht="15.75" customHeight="1">
      <c r="A1" s="20" t="s">
        <v>107</v>
      </c>
      <c r="B1" s="20" t="s">
        <v>1</v>
      </c>
      <c r="C1" s="21" t="s">
        <v>108</v>
      </c>
      <c r="E1" s="21" t="s">
        <v>4</v>
      </c>
    </row>
    <row r="2" spans="1:5" ht="65.25" customHeight="1">
      <c r="A2" s="22" t="s">
        <v>109</v>
      </c>
      <c r="B2" s="23" t="s">
        <v>110</v>
      </c>
      <c r="C2" s="21">
        <f t="shared" ref="C2:C18" si="0">+LEN(B2)</f>
        <v>186</v>
      </c>
      <c r="E2" s="21" t="s">
        <v>8</v>
      </c>
    </row>
    <row r="3" spans="1:5" ht="65.25" customHeight="1">
      <c r="A3" s="22" t="s">
        <v>111</v>
      </c>
      <c r="B3" s="23" t="s">
        <v>112</v>
      </c>
      <c r="C3" s="21">
        <f t="shared" si="0"/>
        <v>434</v>
      </c>
      <c r="E3" s="21"/>
    </row>
    <row r="4" spans="1:5" ht="43.15">
      <c r="A4" s="22" t="s">
        <v>113</v>
      </c>
      <c r="B4" s="24" t="s">
        <v>114</v>
      </c>
      <c r="C4" s="21">
        <f t="shared" si="0"/>
        <v>245</v>
      </c>
      <c r="E4" s="21" t="s">
        <v>8</v>
      </c>
    </row>
    <row r="5" spans="1:5" ht="28.9">
      <c r="A5" s="22" t="s">
        <v>115</v>
      </c>
      <c r="B5" s="24" t="s">
        <v>116</v>
      </c>
      <c r="C5" s="21">
        <f t="shared" si="0"/>
        <v>168</v>
      </c>
      <c r="E5" s="21" t="s">
        <v>8</v>
      </c>
    </row>
    <row r="6" spans="1:5" ht="53.45">
      <c r="A6" s="25" t="s">
        <v>117</v>
      </c>
      <c r="B6" s="26" t="s">
        <v>118</v>
      </c>
      <c r="C6" s="21">
        <f t="shared" si="0"/>
        <v>267</v>
      </c>
      <c r="E6" s="21"/>
    </row>
    <row r="7" spans="1:5" ht="53.45">
      <c r="A7" s="25" t="s">
        <v>119</v>
      </c>
      <c r="B7" s="26" t="s">
        <v>120</v>
      </c>
      <c r="C7" s="21">
        <f t="shared" si="0"/>
        <v>265</v>
      </c>
      <c r="E7" s="21"/>
    </row>
    <row r="8" spans="1:5" ht="53.45">
      <c r="A8" s="25" t="s">
        <v>121</v>
      </c>
      <c r="B8" s="26" t="s">
        <v>122</v>
      </c>
      <c r="C8" s="21">
        <f t="shared" si="0"/>
        <v>271</v>
      </c>
      <c r="E8" s="21"/>
    </row>
    <row r="9" spans="1:5" ht="53.45">
      <c r="A9" s="25" t="s">
        <v>123</v>
      </c>
      <c r="B9" s="26" t="s">
        <v>124</v>
      </c>
      <c r="C9" s="21">
        <f t="shared" si="0"/>
        <v>267</v>
      </c>
      <c r="E9" s="21"/>
    </row>
    <row r="10" spans="1:5" ht="53.45">
      <c r="A10" s="25" t="s">
        <v>125</v>
      </c>
      <c r="B10" s="26" t="s">
        <v>126</v>
      </c>
      <c r="C10" s="21">
        <f t="shared" si="0"/>
        <v>266</v>
      </c>
      <c r="E10" s="21"/>
    </row>
    <row r="11" spans="1:5" ht="57.75" customHeight="1">
      <c r="A11" s="25" t="s">
        <v>127</v>
      </c>
      <c r="B11" s="26" t="s">
        <v>128</v>
      </c>
      <c r="C11" s="21">
        <f t="shared" si="0"/>
        <v>279</v>
      </c>
      <c r="E11" s="21"/>
    </row>
    <row r="12" spans="1:5" ht="53.45">
      <c r="A12" s="25" t="s">
        <v>129</v>
      </c>
      <c r="B12" s="26" t="s">
        <v>130</v>
      </c>
      <c r="C12" s="21">
        <f t="shared" si="0"/>
        <v>276</v>
      </c>
      <c r="E12" s="21"/>
    </row>
    <row r="13" spans="1:5" ht="53.45">
      <c r="A13" s="22" t="s">
        <v>131</v>
      </c>
      <c r="B13" s="26" t="s">
        <v>132</v>
      </c>
      <c r="C13" s="21">
        <f t="shared" si="0"/>
        <v>284</v>
      </c>
      <c r="E13" s="21" t="s">
        <v>8</v>
      </c>
    </row>
    <row r="14" spans="1:5" ht="53.45">
      <c r="A14" s="27" t="s">
        <v>133</v>
      </c>
      <c r="B14" s="26" t="s">
        <v>134</v>
      </c>
      <c r="C14" s="21">
        <f t="shared" si="0"/>
        <v>277</v>
      </c>
      <c r="E14" s="21" t="s">
        <v>8</v>
      </c>
    </row>
    <row r="15" spans="1:5" ht="53.45">
      <c r="A15" s="27" t="s">
        <v>135</v>
      </c>
      <c r="B15" s="26" t="s">
        <v>136</v>
      </c>
      <c r="C15" s="21">
        <f t="shared" si="0"/>
        <v>278</v>
      </c>
      <c r="E15" s="21"/>
    </row>
    <row r="16" spans="1:5" ht="53.45">
      <c r="A16" s="27" t="s">
        <v>137</v>
      </c>
      <c r="B16" s="26" t="s">
        <v>138</v>
      </c>
      <c r="C16" s="21">
        <f t="shared" si="0"/>
        <v>266</v>
      </c>
      <c r="E16" s="21"/>
    </row>
    <row r="17" spans="1:5" ht="53.45">
      <c r="A17" s="27" t="s">
        <v>139</v>
      </c>
      <c r="B17" s="26" t="s">
        <v>140</v>
      </c>
      <c r="C17" s="21">
        <f t="shared" si="0"/>
        <v>335</v>
      </c>
      <c r="E17" s="21"/>
    </row>
    <row r="18" spans="1:5" ht="53.45">
      <c r="A18" s="27" t="s">
        <v>141</v>
      </c>
      <c r="B18" s="26" t="s">
        <v>142</v>
      </c>
      <c r="C18" s="21">
        <f t="shared" si="0"/>
        <v>275</v>
      </c>
      <c r="E18" s="21"/>
    </row>
    <row r="19" spans="1:5" ht="53.45">
      <c r="A19" s="25" t="s">
        <v>143</v>
      </c>
      <c r="B19" s="26" t="s">
        <v>144</v>
      </c>
      <c r="C19" s="21"/>
      <c r="E19" s="21"/>
    </row>
    <row r="20" spans="1:5" ht="53.45">
      <c r="A20" s="25" t="s">
        <v>145</v>
      </c>
      <c r="B20" s="26" t="s">
        <v>144</v>
      </c>
      <c r="C20" s="21">
        <f t="shared" ref="C20:C25" si="1">+LEN(B20)</f>
        <v>268</v>
      </c>
      <c r="E20" s="21"/>
    </row>
    <row r="21" spans="1:5" ht="53.45">
      <c r="A21" s="25" t="s">
        <v>146</v>
      </c>
      <c r="B21" s="26" t="s">
        <v>147</v>
      </c>
      <c r="C21" s="21">
        <f t="shared" si="1"/>
        <v>277</v>
      </c>
      <c r="E21" s="21"/>
    </row>
    <row r="22" spans="1:5" ht="53.45">
      <c r="A22" s="25" t="s">
        <v>148</v>
      </c>
      <c r="B22" s="26" t="s">
        <v>149</v>
      </c>
      <c r="C22" s="21">
        <f t="shared" si="1"/>
        <v>266</v>
      </c>
      <c r="E22" s="21"/>
    </row>
    <row r="23" spans="1:5" ht="53.45">
      <c r="A23" s="22" t="s">
        <v>150</v>
      </c>
      <c r="B23" s="26" t="s">
        <v>151</v>
      </c>
      <c r="C23" s="21">
        <f t="shared" si="1"/>
        <v>268</v>
      </c>
      <c r="E23" s="21"/>
    </row>
    <row r="24" spans="1:5" ht="53.45">
      <c r="A24" s="22" t="s">
        <v>152</v>
      </c>
      <c r="B24" s="26" t="s">
        <v>153</v>
      </c>
      <c r="C24" s="21">
        <f t="shared" si="1"/>
        <v>332</v>
      </c>
      <c r="E24" s="21"/>
    </row>
    <row r="25" spans="1:5" ht="53.45">
      <c r="A25" s="22" t="s">
        <v>154</v>
      </c>
      <c r="B25" s="26" t="s">
        <v>155</v>
      </c>
      <c r="C25" s="21">
        <f t="shared" si="1"/>
        <v>318</v>
      </c>
      <c r="E25" s="21" t="s">
        <v>8</v>
      </c>
    </row>
    <row r="26" spans="1:5" ht="53.45">
      <c r="A26" s="22" t="s">
        <v>156</v>
      </c>
      <c r="B26" s="26" t="s">
        <v>157</v>
      </c>
      <c r="C26" s="21"/>
      <c r="E26" s="21"/>
    </row>
    <row r="27" spans="1:5" ht="53.45">
      <c r="A27" s="22" t="s">
        <v>158</v>
      </c>
      <c r="B27" s="26" t="s">
        <v>159</v>
      </c>
      <c r="C27" s="21"/>
      <c r="E27" s="21"/>
    </row>
    <row r="28" spans="1:5" ht="53.45">
      <c r="A28" s="22" t="s">
        <v>160</v>
      </c>
      <c r="B28" s="26" t="s">
        <v>161</v>
      </c>
      <c r="C28" s="21"/>
      <c r="E28" s="21"/>
    </row>
    <row r="29" spans="1:5" ht="53.45">
      <c r="A29" s="22" t="s">
        <v>162</v>
      </c>
      <c r="B29" s="26" t="s">
        <v>161</v>
      </c>
      <c r="C29" s="21"/>
      <c r="E29" s="21"/>
    </row>
    <row r="30" spans="1:5" ht="53.45">
      <c r="A30" s="22" t="s">
        <v>163</v>
      </c>
      <c r="B30" s="26" t="s">
        <v>164</v>
      </c>
      <c r="C30" s="21">
        <f t="shared" ref="C30:C34" si="2">+LEN(B30)</f>
        <v>279</v>
      </c>
      <c r="E30" s="21"/>
    </row>
    <row r="31" spans="1:5" ht="53.45">
      <c r="A31" s="22" t="s">
        <v>165</v>
      </c>
      <c r="B31" s="26" t="s">
        <v>166</v>
      </c>
      <c r="C31" s="21">
        <f t="shared" si="2"/>
        <v>272</v>
      </c>
      <c r="E31" s="21"/>
    </row>
    <row r="32" spans="1:5" ht="53.45">
      <c r="A32" s="22" t="s">
        <v>167</v>
      </c>
      <c r="B32" s="26" t="s">
        <v>168</v>
      </c>
      <c r="C32" s="21">
        <f t="shared" si="2"/>
        <v>323</v>
      </c>
      <c r="E32" s="21"/>
    </row>
    <row r="33" spans="1:5" ht="53.45">
      <c r="A33" s="22" t="s">
        <v>169</v>
      </c>
      <c r="B33" s="26" t="s">
        <v>170</v>
      </c>
      <c r="C33" s="21">
        <f t="shared" si="2"/>
        <v>273</v>
      </c>
      <c r="E33" s="21"/>
    </row>
    <row r="34" spans="1:5" ht="53.45">
      <c r="A34" s="22" t="s">
        <v>171</v>
      </c>
      <c r="B34" s="26" t="s">
        <v>172</v>
      </c>
      <c r="C34" s="21">
        <f t="shared" si="2"/>
        <v>318</v>
      </c>
      <c r="E34" s="21"/>
    </row>
    <row r="35" spans="1:5" ht="69" customHeight="1">
      <c r="A35" s="22" t="s">
        <v>173</v>
      </c>
      <c r="B35" s="26" t="s">
        <v>174</v>
      </c>
      <c r="C35" s="21"/>
      <c r="E35" s="21"/>
    </row>
    <row r="36" spans="1:5" ht="69" customHeight="1">
      <c r="A36" s="22" t="s">
        <v>175</v>
      </c>
      <c r="B36" s="26" t="s">
        <v>176</v>
      </c>
      <c r="C36" s="21">
        <f>+LEN(B36)</f>
        <v>307</v>
      </c>
      <c r="E36" s="21"/>
    </row>
    <row r="37" spans="1:5" ht="48" customHeight="1">
      <c r="A37" s="22" t="s">
        <v>177</v>
      </c>
      <c r="B37" s="26" t="s">
        <v>178</v>
      </c>
      <c r="C37" s="21"/>
      <c r="E37" s="21"/>
    </row>
    <row r="38" spans="1:5" ht="69" customHeight="1">
      <c r="A38" s="22" t="s">
        <v>179</v>
      </c>
      <c r="B38" s="26" t="s">
        <v>180</v>
      </c>
      <c r="C38" s="21"/>
      <c r="E38" s="21"/>
    </row>
    <row r="39" spans="1:5" ht="69" customHeight="1">
      <c r="A39" s="22" t="s">
        <v>181</v>
      </c>
      <c r="B39" s="26" t="s">
        <v>182</v>
      </c>
      <c r="C39" s="21">
        <f t="shared" ref="C39:C61" si="3">+LEN(B39)</f>
        <v>256</v>
      </c>
      <c r="E39" s="21"/>
    </row>
    <row r="40" spans="1:5" ht="62.25" customHeight="1">
      <c r="A40" s="22" t="s">
        <v>183</v>
      </c>
      <c r="B40" s="26" t="s">
        <v>184</v>
      </c>
      <c r="C40" s="21">
        <f t="shared" si="3"/>
        <v>247</v>
      </c>
      <c r="E40" s="21"/>
    </row>
    <row r="41" spans="1:5" ht="62.25" customHeight="1">
      <c r="A41" s="22" t="s">
        <v>185</v>
      </c>
      <c r="B41" s="26" t="s">
        <v>186</v>
      </c>
      <c r="C41" s="21">
        <f t="shared" si="3"/>
        <v>262</v>
      </c>
      <c r="E41" s="21"/>
    </row>
    <row r="42" spans="1:5" ht="62.25" customHeight="1">
      <c r="A42" s="22" t="s">
        <v>187</v>
      </c>
      <c r="B42" s="26" t="s">
        <v>188</v>
      </c>
      <c r="C42" s="21">
        <f t="shared" si="3"/>
        <v>263</v>
      </c>
      <c r="E42" s="21"/>
    </row>
    <row r="43" spans="1:5" ht="62.25" customHeight="1">
      <c r="A43" s="22" t="s">
        <v>189</v>
      </c>
      <c r="B43" s="26" t="s">
        <v>190</v>
      </c>
      <c r="C43" s="21">
        <f t="shared" si="3"/>
        <v>262</v>
      </c>
      <c r="E43" s="21"/>
    </row>
    <row r="44" spans="1:5" ht="62.25" customHeight="1">
      <c r="A44" s="22" t="s">
        <v>191</v>
      </c>
      <c r="B44" s="26" t="s">
        <v>192</v>
      </c>
      <c r="C44" s="21">
        <f t="shared" si="3"/>
        <v>258</v>
      </c>
      <c r="E44" s="21"/>
    </row>
    <row r="45" spans="1:5" ht="62.25" customHeight="1">
      <c r="A45" s="22" t="s">
        <v>193</v>
      </c>
      <c r="B45" s="26" t="s">
        <v>194</v>
      </c>
      <c r="C45" s="21">
        <f t="shared" si="3"/>
        <v>256</v>
      </c>
      <c r="E45" s="21"/>
    </row>
    <row r="46" spans="1:5" ht="62.25" customHeight="1">
      <c r="A46" s="22" t="s">
        <v>195</v>
      </c>
      <c r="B46" s="26" t="s">
        <v>196</v>
      </c>
      <c r="C46" s="21">
        <f t="shared" si="3"/>
        <v>258</v>
      </c>
      <c r="E46" s="21"/>
    </row>
    <row r="47" spans="1:5" ht="62.25" customHeight="1">
      <c r="A47" s="22" t="s">
        <v>197</v>
      </c>
      <c r="B47" s="26" t="s">
        <v>198</v>
      </c>
      <c r="C47" s="21">
        <f t="shared" si="3"/>
        <v>260</v>
      </c>
      <c r="E47" s="21"/>
    </row>
    <row r="48" spans="1:5" ht="62.25" customHeight="1">
      <c r="A48" s="22" t="s">
        <v>199</v>
      </c>
      <c r="B48" s="26" t="s">
        <v>200</v>
      </c>
      <c r="C48" s="21">
        <f t="shared" si="3"/>
        <v>252</v>
      </c>
      <c r="E48" s="21"/>
    </row>
    <row r="49" spans="1:5" ht="62.25" customHeight="1">
      <c r="A49" s="22" t="s">
        <v>201</v>
      </c>
      <c r="B49" s="26" t="s">
        <v>202</v>
      </c>
      <c r="C49" s="21">
        <f t="shared" si="3"/>
        <v>274</v>
      </c>
      <c r="E49" s="21"/>
    </row>
    <row r="50" spans="1:5" ht="62.25" customHeight="1">
      <c r="A50" s="22" t="s">
        <v>203</v>
      </c>
      <c r="B50" s="26" t="s">
        <v>204</v>
      </c>
      <c r="C50" s="21">
        <f t="shared" si="3"/>
        <v>251</v>
      </c>
      <c r="E50" s="21"/>
    </row>
    <row r="51" spans="1:5" ht="62.25" customHeight="1">
      <c r="A51" s="22" t="s">
        <v>205</v>
      </c>
      <c r="B51" s="26" t="s">
        <v>204</v>
      </c>
      <c r="C51" s="21">
        <f t="shared" si="3"/>
        <v>251</v>
      </c>
      <c r="E51" s="21"/>
    </row>
    <row r="52" spans="1:5" ht="62.25" customHeight="1">
      <c r="A52" s="22" t="s">
        <v>206</v>
      </c>
      <c r="B52" s="26" t="s">
        <v>207</v>
      </c>
      <c r="C52" s="21">
        <f t="shared" si="3"/>
        <v>262</v>
      </c>
      <c r="E52" s="21"/>
    </row>
    <row r="53" spans="1:5" ht="62.25" customHeight="1">
      <c r="A53" s="22" t="s">
        <v>208</v>
      </c>
      <c r="B53" s="26" t="s">
        <v>209</v>
      </c>
      <c r="C53" s="21">
        <f t="shared" si="3"/>
        <v>258</v>
      </c>
      <c r="E53" s="21"/>
    </row>
    <row r="54" spans="1:5" ht="62.25" customHeight="1">
      <c r="A54" s="22" t="s">
        <v>210</v>
      </c>
      <c r="B54" s="26" t="s">
        <v>211</v>
      </c>
      <c r="C54" s="21">
        <f t="shared" si="3"/>
        <v>305</v>
      </c>
      <c r="E54" s="21" t="s">
        <v>8</v>
      </c>
    </row>
    <row r="55" spans="1:5" ht="53.45">
      <c r="A55" s="22" t="s">
        <v>212</v>
      </c>
      <c r="B55" s="26" t="s">
        <v>213</v>
      </c>
      <c r="C55" s="21">
        <f t="shared" si="3"/>
        <v>260</v>
      </c>
      <c r="E55" s="21"/>
    </row>
    <row r="56" spans="1:5" ht="40.15">
      <c r="A56" s="22" t="s">
        <v>214</v>
      </c>
      <c r="B56" s="26" t="s">
        <v>215</v>
      </c>
      <c r="C56" s="21">
        <f t="shared" si="3"/>
        <v>245</v>
      </c>
      <c r="E56" s="21" t="s">
        <v>8</v>
      </c>
    </row>
    <row r="57" spans="1:5" ht="53.45">
      <c r="A57" s="22" t="s">
        <v>216</v>
      </c>
      <c r="B57" s="26" t="s">
        <v>217</v>
      </c>
      <c r="C57" s="21">
        <f t="shared" si="3"/>
        <v>300</v>
      </c>
      <c r="E57" s="21" t="s">
        <v>8</v>
      </c>
    </row>
    <row r="58" spans="1:5" ht="53.45">
      <c r="A58" s="22" t="s">
        <v>218</v>
      </c>
      <c r="B58" s="26" t="s">
        <v>219</v>
      </c>
      <c r="C58" s="21">
        <f t="shared" si="3"/>
        <v>341</v>
      </c>
      <c r="E58" s="21" t="s">
        <v>8</v>
      </c>
    </row>
    <row r="59" spans="1:5" ht="66.599999999999994">
      <c r="A59" s="27" t="s">
        <v>220</v>
      </c>
      <c r="B59" s="26" t="s">
        <v>221</v>
      </c>
      <c r="C59" s="21">
        <f t="shared" si="3"/>
        <v>424</v>
      </c>
      <c r="E59" s="21" t="s">
        <v>8</v>
      </c>
    </row>
    <row r="60" spans="1:5" ht="53.25" customHeight="1">
      <c r="A60" s="22" t="s">
        <v>222</v>
      </c>
      <c r="B60" s="28" t="s">
        <v>223</v>
      </c>
      <c r="C60" s="21">
        <f t="shared" si="3"/>
        <v>245</v>
      </c>
      <c r="E60" s="21" t="s">
        <v>8</v>
      </c>
    </row>
    <row r="61" spans="1:5" ht="43.15">
      <c r="A61" s="22" t="s">
        <v>224</v>
      </c>
      <c r="B61" s="29" t="s">
        <v>225</v>
      </c>
      <c r="C61" s="21">
        <f t="shared" si="3"/>
        <v>247</v>
      </c>
      <c r="E61" s="21" t="s">
        <v>8</v>
      </c>
    </row>
    <row r="62" spans="1:5" ht="40.15">
      <c r="A62" s="22" t="s">
        <v>226</v>
      </c>
      <c r="B62" s="26" t="s">
        <v>227</v>
      </c>
      <c r="C62" s="21"/>
      <c r="E62" s="21"/>
    </row>
    <row r="63" spans="1:5" ht="40.15">
      <c r="A63" s="22" t="s">
        <v>228</v>
      </c>
      <c r="B63" s="26" t="s">
        <v>227</v>
      </c>
      <c r="C63" s="21">
        <f t="shared" ref="C63:C66" si="4">+LEN(B63)</f>
        <v>244</v>
      </c>
      <c r="E63" s="21"/>
    </row>
    <row r="64" spans="1:5" ht="40.15">
      <c r="A64" s="22" t="s">
        <v>229</v>
      </c>
      <c r="B64" s="26" t="s">
        <v>230</v>
      </c>
      <c r="C64" s="21">
        <f t="shared" si="4"/>
        <v>246</v>
      </c>
      <c r="E64" s="21"/>
    </row>
    <row r="65" spans="1:5" ht="40.15">
      <c r="A65" s="22" t="s">
        <v>231</v>
      </c>
      <c r="B65" s="26" t="s">
        <v>232</v>
      </c>
      <c r="C65" s="21">
        <f t="shared" si="4"/>
        <v>243</v>
      </c>
      <c r="E65" s="21"/>
    </row>
    <row r="66" spans="1:5" ht="40.15">
      <c r="A66" s="22" t="s">
        <v>233</v>
      </c>
      <c r="B66" s="26" t="s">
        <v>234</v>
      </c>
      <c r="C66" s="21">
        <f t="shared" si="4"/>
        <v>255</v>
      </c>
      <c r="E66" s="21" t="s">
        <v>8</v>
      </c>
    </row>
    <row r="67" spans="1:5" ht="40.15">
      <c r="A67" s="22" t="s">
        <v>235</v>
      </c>
      <c r="B67" s="26" t="s">
        <v>236</v>
      </c>
      <c r="C67" s="21"/>
      <c r="E67" s="21"/>
    </row>
    <row r="68" spans="1:5" ht="53.45">
      <c r="A68" s="22" t="s">
        <v>237</v>
      </c>
      <c r="B68" s="26" t="s">
        <v>238</v>
      </c>
      <c r="C68" s="21">
        <f t="shared" ref="C68:C69" si="5">+LEN(B68)</f>
        <v>274</v>
      </c>
      <c r="E68" s="21" t="s">
        <v>8</v>
      </c>
    </row>
    <row r="69" spans="1:5" ht="61.5" customHeight="1">
      <c r="A69" s="22" t="s">
        <v>239</v>
      </c>
      <c r="B69" s="26" t="s">
        <v>240</v>
      </c>
      <c r="C69" s="21">
        <f t="shared" si="5"/>
        <v>288</v>
      </c>
      <c r="E69" s="21" t="s">
        <v>8</v>
      </c>
    </row>
    <row r="70" spans="1:5" ht="53.45">
      <c r="A70" s="22" t="s">
        <v>241</v>
      </c>
      <c r="B70" s="26" t="s">
        <v>242</v>
      </c>
      <c r="C70" s="21"/>
      <c r="E70" s="21"/>
    </row>
    <row r="71" spans="1:5" ht="53.45">
      <c r="A71" s="22" t="s">
        <v>243</v>
      </c>
      <c r="B71" s="26" t="s">
        <v>244</v>
      </c>
      <c r="C71" s="21">
        <f t="shared" ref="C71:C89" si="6">+LEN(B71)</f>
        <v>326</v>
      </c>
      <c r="E71" s="21"/>
    </row>
    <row r="72" spans="1:5" ht="53.45">
      <c r="A72" s="22" t="s">
        <v>245</v>
      </c>
      <c r="B72" s="26" t="s">
        <v>246</v>
      </c>
      <c r="C72" s="21">
        <f t="shared" si="6"/>
        <v>326</v>
      </c>
      <c r="E72" s="21" t="s">
        <v>8</v>
      </c>
    </row>
    <row r="73" spans="1:5" ht="68.25" customHeight="1">
      <c r="A73" s="22" t="s">
        <v>247</v>
      </c>
      <c r="B73" s="30" t="s">
        <v>248</v>
      </c>
      <c r="C73" s="21">
        <f t="shared" si="6"/>
        <v>236</v>
      </c>
      <c r="E73" s="21" t="s">
        <v>8</v>
      </c>
    </row>
    <row r="74" spans="1:5" ht="53.45">
      <c r="A74" s="27" t="s">
        <v>249</v>
      </c>
      <c r="B74" s="26" t="s">
        <v>246</v>
      </c>
      <c r="C74" s="21">
        <f t="shared" si="6"/>
        <v>326</v>
      </c>
      <c r="D74" s="31"/>
      <c r="E74" s="21" t="s">
        <v>8</v>
      </c>
    </row>
    <row r="75" spans="1:5" ht="53.45">
      <c r="A75" s="22" t="s">
        <v>250</v>
      </c>
      <c r="B75" s="26" t="s">
        <v>251</v>
      </c>
      <c r="C75" s="21">
        <f t="shared" si="6"/>
        <v>326</v>
      </c>
      <c r="D75" s="32"/>
      <c r="E75" s="21" t="s">
        <v>8</v>
      </c>
    </row>
    <row r="76" spans="1:5" ht="53.45">
      <c r="A76" s="33" t="s">
        <v>252</v>
      </c>
      <c r="B76" s="26" t="s">
        <v>253</v>
      </c>
      <c r="C76" s="21">
        <f t="shared" si="6"/>
        <v>303</v>
      </c>
      <c r="E76" s="21" t="s">
        <v>8</v>
      </c>
    </row>
    <row r="77" spans="1:5" ht="53.45">
      <c r="A77" s="33" t="s">
        <v>254</v>
      </c>
      <c r="B77" s="26" t="s">
        <v>255</v>
      </c>
      <c r="C77" s="21">
        <f t="shared" si="6"/>
        <v>290</v>
      </c>
      <c r="E77" s="21"/>
    </row>
    <row r="78" spans="1:5" ht="53.45">
      <c r="A78" s="33" t="s">
        <v>256</v>
      </c>
      <c r="B78" s="26" t="s">
        <v>257</v>
      </c>
      <c r="C78" s="21">
        <f t="shared" si="6"/>
        <v>290</v>
      </c>
      <c r="E78" s="21" t="s">
        <v>8</v>
      </c>
    </row>
    <row r="79" spans="1:5" ht="53.45">
      <c r="A79" s="22" t="s">
        <v>258</v>
      </c>
      <c r="B79" s="26" t="s">
        <v>259</v>
      </c>
      <c r="C79" s="21">
        <f t="shared" si="6"/>
        <v>316</v>
      </c>
      <c r="E79" s="21" t="s">
        <v>8</v>
      </c>
    </row>
    <row r="80" spans="1:5" ht="40.15">
      <c r="A80" s="33" t="s">
        <v>260</v>
      </c>
      <c r="B80" s="26" t="s">
        <v>261</v>
      </c>
      <c r="C80" s="21">
        <f t="shared" si="6"/>
        <v>244</v>
      </c>
      <c r="E80" s="21" t="s">
        <v>8</v>
      </c>
    </row>
    <row r="81" spans="1:5" ht="40.15">
      <c r="A81" s="22" t="s">
        <v>262</v>
      </c>
      <c r="B81" s="26" t="s">
        <v>263</v>
      </c>
      <c r="C81" s="21">
        <f t="shared" si="6"/>
        <v>241</v>
      </c>
      <c r="E81" s="21" t="s">
        <v>8</v>
      </c>
    </row>
    <row r="82" spans="1:5" ht="27.75" customHeight="1">
      <c r="A82" s="22" t="s">
        <v>264</v>
      </c>
      <c r="B82" s="26" t="s">
        <v>265</v>
      </c>
      <c r="C82" s="21">
        <f t="shared" si="6"/>
        <v>241</v>
      </c>
      <c r="E82" s="21" t="s">
        <v>8</v>
      </c>
    </row>
    <row r="83" spans="1:5" ht="53.45">
      <c r="A83" s="22" t="s">
        <v>266</v>
      </c>
      <c r="B83" s="26" t="s">
        <v>267</v>
      </c>
      <c r="C83" s="21">
        <f t="shared" si="6"/>
        <v>290</v>
      </c>
      <c r="E83" s="21" t="s">
        <v>8</v>
      </c>
    </row>
    <row r="84" spans="1:5" ht="66.599999999999994">
      <c r="A84" s="27" t="s">
        <v>268</v>
      </c>
      <c r="B84" s="26" t="s">
        <v>269</v>
      </c>
      <c r="C84" s="21">
        <f t="shared" si="6"/>
        <v>382</v>
      </c>
      <c r="E84" s="21" t="s">
        <v>8</v>
      </c>
    </row>
    <row r="85" spans="1:5" ht="53.45">
      <c r="A85" s="22" t="s">
        <v>270</v>
      </c>
      <c r="B85" s="26" t="s">
        <v>271</v>
      </c>
      <c r="C85" s="21">
        <f t="shared" si="6"/>
        <v>316</v>
      </c>
      <c r="E85" s="21" t="s">
        <v>8</v>
      </c>
    </row>
    <row r="86" spans="1:5" ht="53.45">
      <c r="A86" s="27" t="s">
        <v>272</v>
      </c>
      <c r="B86" s="26" t="s">
        <v>273</v>
      </c>
      <c r="C86" s="21">
        <f t="shared" si="6"/>
        <v>338</v>
      </c>
      <c r="D86" s="32"/>
      <c r="E86" s="21" t="s">
        <v>8</v>
      </c>
    </row>
    <row r="87" spans="1:5" ht="53.45">
      <c r="A87" s="33" t="s">
        <v>274</v>
      </c>
      <c r="B87" s="26" t="s">
        <v>275</v>
      </c>
      <c r="C87" s="21">
        <f t="shared" si="6"/>
        <v>326</v>
      </c>
      <c r="E87" s="21" t="s">
        <v>8</v>
      </c>
    </row>
    <row r="88" spans="1:5" ht="78" customHeight="1">
      <c r="A88" s="33" t="s">
        <v>276</v>
      </c>
      <c r="B88" s="26" t="s">
        <v>277</v>
      </c>
      <c r="C88" s="21">
        <f t="shared" si="6"/>
        <v>324</v>
      </c>
      <c r="E88" s="21"/>
    </row>
    <row r="89" spans="1:5" ht="78" customHeight="1">
      <c r="A89" s="22" t="s">
        <v>278</v>
      </c>
      <c r="B89" s="26" t="s">
        <v>275</v>
      </c>
      <c r="C89" s="21">
        <f t="shared" si="6"/>
        <v>326</v>
      </c>
      <c r="E89" s="21" t="s">
        <v>8</v>
      </c>
    </row>
    <row r="90" spans="1:5" ht="78" customHeight="1">
      <c r="A90" s="22" t="s">
        <v>279</v>
      </c>
      <c r="B90" s="34" t="s">
        <v>280</v>
      </c>
      <c r="C90" s="21"/>
      <c r="E90" s="21"/>
    </row>
    <row r="91" spans="1:5" ht="78" customHeight="1">
      <c r="A91" s="22" t="s">
        <v>281</v>
      </c>
      <c r="B91" s="34" t="s">
        <v>282</v>
      </c>
      <c r="C91" s="21"/>
      <c r="E91" s="21"/>
    </row>
    <row r="92" spans="1:5" ht="78" customHeight="1">
      <c r="A92" s="22" t="s">
        <v>283</v>
      </c>
      <c r="B92" s="34" t="s">
        <v>284</v>
      </c>
      <c r="C92" s="21">
        <f>+LEN(B92)</f>
        <v>266</v>
      </c>
      <c r="E92" s="21"/>
    </row>
    <row r="93" spans="1:5" ht="78" customHeight="1">
      <c r="A93" s="22" t="s">
        <v>285</v>
      </c>
      <c r="B93" s="34" t="s">
        <v>286</v>
      </c>
      <c r="C93" s="21"/>
      <c r="E93" s="21"/>
    </row>
    <row r="94" spans="1:5" ht="78" customHeight="1">
      <c r="A94" s="22" t="s">
        <v>287</v>
      </c>
      <c r="B94" s="34" t="s">
        <v>288</v>
      </c>
      <c r="C94" s="21"/>
      <c r="E94" s="21"/>
    </row>
    <row r="95" spans="1:5" ht="78" customHeight="1">
      <c r="A95" s="22" t="s">
        <v>289</v>
      </c>
      <c r="B95" s="34" t="s">
        <v>290</v>
      </c>
      <c r="C95" s="21">
        <f t="shared" ref="C95:C99" si="7">+LEN(B95)</f>
        <v>266</v>
      </c>
      <c r="E95" s="21" t="s">
        <v>8</v>
      </c>
    </row>
    <row r="96" spans="1:5" ht="78" customHeight="1">
      <c r="A96" s="22" t="s">
        <v>291</v>
      </c>
      <c r="B96" s="34" t="s">
        <v>292</v>
      </c>
      <c r="C96" s="21">
        <f t="shared" si="7"/>
        <v>264</v>
      </c>
      <c r="E96" s="21" t="s">
        <v>8</v>
      </c>
    </row>
    <row r="97" spans="1:5" ht="53.45">
      <c r="A97" s="22" t="s">
        <v>293</v>
      </c>
      <c r="B97" s="34" t="s">
        <v>294</v>
      </c>
      <c r="C97" s="21">
        <f t="shared" si="7"/>
        <v>313</v>
      </c>
      <c r="E97" s="21" t="s">
        <v>8</v>
      </c>
    </row>
    <row r="98" spans="1:5" ht="53.45">
      <c r="A98" s="22" t="s">
        <v>295</v>
      </c>
      <c r="B98" s="26" t="s">
        <v>296</v>
      </c>
      <c r="C98" s="21">
        <f t="shared" si="7"/>
        <v>261</v>
      </c>
      <c r="E98" s="21" t="s">
        <v>8</v>
      </c>
    </row>
    <row r="99" spans="1:5" ht="53.45">
      <c r="A99" s="22" t="s">
        <v>297</v>
      </c>
      <c r="B99" s="26" t="s">
        <v>298</v>
      </c>
      <c r="C99" s="21">
        <f t="shared" si="7"/>
        <v>320</v>
      </c>
      <c r="E99" s="21" t="s">
        <v>8</v>
      </c>
    </row>
    <row r="100" spans="1:5" ht="53.45">
      <c r="A100" s="22" t="s">
        <v>299</v>
      </c>
      <c r="B100" s="26" t="s">
        <v>300</v>
      </c>
      <c r="C100" s="21"/>
      <c r="E100" s="21"/>
    </row>
    <row r="101" spans="1:5" ht="53.45">
      <c r="A101" s="22" t="s">
        <v>301</v>
      </c>
      <c r="B101" s="26" t="s">
        <v>302</v>
      </c>
      <c r="C101" s="21">
        <f t="shared" ref="C101:C111" si="8">+LEN(B101)</f>
        <v>293</v>
      </c>
      <c r="E101" s="21" t="s">
        <v>8</v>
      </c>
    </row>
    <row r="102" spans="1:5" ht="66.75" customHeight="1">
      <c r="A102" s="22" t="s">
        <v>303</v>
      </c>
      <c r="B102" s="26" t="s">
        <v>304</v>
      </c>
      <c r="C102" s="21">
        <f t="shared" si="8"/>
        <v>294</v>
      </c>
      <c r="E102" s="21" t="s">
        <v>8</v>
      </c>
    </row>
    <row r="103" spans="1:5" ht="66.599999999999994">
      <c r="A103" s="22" t="s">
        <v>305</v>
      </c>
      <c r="B103" s="26" t="s">
        <v>306</v>
      </c>
      <c r="C103" s="21">
        <f t="shared" si="8"/>
        <v>345</v>
      </c>
      <c r="E103" s="21" t="s">
        <v>8</v>
      </c>
    </row>
    <row r="104" spans="1:5" ht="25.5" customHeight="1">
      <c r="A104" s="22" t="s">
        <v>307</v>
      </c>
      <c r="B104" s="26" t="s">
        <v>308</v>
      </c>
      <c r="C104" s="21">
        <f t="shared" si="8"/>
        <v>256</v>
      </c>
      <c r="E104" s="21" t="s">
        <v>8</v>
      </c>
    </row>
    <row r="105" spans="1:5" ht="53.45">
      <c r="A105" s="22" t="s">
        <v>309</v>
      </c>
      <c r="B105" s="26" t="s">
        <v>310</v>
      </c>
      <c r="C105" s="21">
        <f t="shared" si="8"/>
        <v>269</v>
      </c>
      <c r="E105" s="21" t="s">
        <v>8</v>
      </c>
    </row>
    <row r="106" spans="1:5" ht="66.599999999999994">
      <c r="A106" s="22" t="s">
        <v>311</v>
      </c>
      <c r="B106" s="26" t="s">
        <v>312</v>
      </c>
      <c r="C106" s="21">
        <f t="shared" si="8"/>
        <v>397</v>
      </c>
      <c r="E106" s="21" t="s">
        <v>8</v>
      </c>
    </row>
    <row r="107" spans="1:5" ht="40.15">
      <c r="A107" s="22" t="s">
        <v>313</v>
      </c>
      <c r="B107" s="26" t="s">
        <v>314</v>
      </c>
      <c r="C107" s="21">
        <f t="shared" si="8"/>
        <v>190</v>
      </c>
      <c r="E107" s="21" t="s">
        <v>8</v>
      </c>
    </row>
    <row r="108" spans="1:5" ht="81" customHeight="1">
      <c r="A108" s="22" t="s">
        <v>315</v>
      </c>
      <c r="B108" s="26" t="s">
        <v>316</v>
      </c>
      <c r="C108" s="21">
        <f t="shared" si="8"/>
        <v>341</v>
      </c>
      <c r="E108" s="21" t="s">
        <v>8</v>
      </c>
    </row>
    <row r="109" spans="1:5" ht="53.45">
      <c r="A109" s="22" t="s">
        <v>317</v>
      </c>
      <c r="B109" s="26" t="s">
        <v>318</v>
      </c>
      <c r="C109" s="21">
        <f t="shared" si="8"/>
        <v>251</v>
      </c>
    </row>
    <row r="110" spans="1:5" ht="56.25" customHeight="1">
      <c r="A110" s="22" t="s">
        <v>319</v>
      </c>
      <c r="B110" s="26" t="s">
        <v>320</v>
      </c>
      <c r="C110" s="21">
        <f t="shared" si="8"/>
        <v>248</v>
      </c>
    </row>
    <row r="111" spans="1:5" ht="53.45">
      <c r="A111" s="22" t="s">
        <v>321</v>
      </c>
      <c r="B111" s="26" t="s">
        <v>322</v>
      </c>
      <c r="C111" s="21">
        <f t="shared" si="8"/>
        <v>258</v>
      </c>
    </row>
    <row r="112" spans="1:5" ht="53.45">
      <c r="A112" s="22" t="s">
        <v>323</v>
      </c>
      <c r="B112" s="26" t="s">
        <v>324</v>
      </c>
      <c r="C112" s="21"/>
    </row>
    <row r="113" spans="1:3" ht="53.45">
      <c r="A113" s="22" t="s">
        <v>325</v>
      </c>
      <c r="B113" s="26" t="s">
        <v>326</v>
      </c>
      <c r="C113" s="21"/>
    </row>
    <row r="114" spans="1:3" ht="53.45">
      <c r="A114" s="22" t="s">
        <v>327</v>
      </c>
      <c r="B114" s="26" t="s">
        <v>328</v>
      </c>
      <c r="C114" s="21"/>
    </row>
    <row r="115" spans="1:3" ht="53.45">
      <c r="A115" s="22" t="s">
        <v>329</v>
      </c>
      <c r="B115" s="26" t="s">
        <v>330</v>
      </c>
      <c r="C115" s="21">
        <f t="shared" ref="C115:C120" si="9">+LEN(B115)</f>
        <v>253</v>
      </c>
    </row>
    <row r="116" spans="1:3" ht="53.45">
      <c r="A116" s="22" t="s">
        <v>331</v>
      </c>
      <c r="B116" s="26" t="s">
        <v>332</v>
      </c>
      <c r="C116" s="21">
        <f t="shared" si="9"/>
        <v>256</v>
      </c>
    </row>
    <row r="117" spans="1:3" ht="40.15">
      <c r="A117" s="22" t="s">
        <v>333</v>
      </c>
      <c r="B117" s="26" t="s">
        <v>334</v>
      </c>
      <c r="C117" s="21">
        <f t="shared" si="9"/>
        <v>242</v>
      </c>
    </row>
    <row r="118" spans="1:3" ht="53.45">
      <c r="A118" s="22" t="s">
        <v>335</v>
      </c>
      <c r="B118" s="26" t="s">
        <v>336</v>
      </c>
      <c r="C118" s="21">
        <f t="shared" si="9"/>
        <v>254</v>
      </c>
    </row>
    <row r="119" spans="1:3" ht="53.45">
      <c r="A119" s="22" t="s">
        <v>337</v>
      </c>
      <c r="B119" s="26" t="s">
        <v>338</v>
      </c>
      <c r="C119" s="21">
        <f t="shared" si="9"/>
        <v>273</v>
      </c>
    </row>
    <row r="120" spans="1:3" ht="53.45">
      <c r="A120" s="22" t="s">
        <v>339</v>
      </c>
      <c r="B120" s="26" t="s">
        <v>340</v>
      </c>
      <c r="C120" s="21">
        <f t="shared" si="9"/>
        <v>245</v>
      </c>
    </row>
    <row r="121" spans="1:3" ht="53.45">
      <c r="A121" s="22" t="s">
        <v>341</v>
      </c>
      <c r="B121" s="26" t="s">
        <v>342</v>
      </c>
      <c r="C121" s="21"/>
    </row>
    <row r="122" spans="1:3" ht="51.75" customHeight="1">
      <c r="A122" s="22" t="s">
        <v>343</v>
      </c>
      <c r="B122" s="26" t="s">
        <v>344</v>
      </c>
      <c r="C122" s="21"/>
    </row>
    <row r="123" spans="1:3" ht="51.75" customHeight="1">
      <c r="A123" s="22" t="s">
        <v>345</v>
      </c>
      <c r="B123" s="26" t="s">
        <v>346</v>
      </c>
      <c r="C123" s="21">
        <f t="shared" ref="C123:C124" si="10">+LEN(B123)</f>
        <v>260</v>
      </c>
    </row>
    <row r="124" spans="1:3" ht="53.45">
      <c r="A124" s="22" t="s">
        <v>347</v>
      </c>
      <c r="B124" s="26" t="s">
        <v>286</v>
      </c>
      <c r="C124" s="21">
        <f t="shared" si="10"/>
        <v>261</v>
      </c>
    </row>
    <row r="125" spans="1:3" ht="15.75" customHeight="1"/>
    <row r="126" spans="1:3" ht="15.75" customHeight="1"/>
    <row r="127" spans="1:3" ht="15.75" customHeight="1"/>
    <row r="128" spans="1:3"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sheetData>
  <conditionalFormatting sqref="C1:C1070">
    <cfRule type="cellIs" dxfId="0" priority="1" operator="greaterThan">
      <formula>330</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23"/>
  <sheetViews>
    <sheetView tabSelected="1" workbookViewId="0">
      <pane ySplit="1" topLeftCell="A195" activePane="bottomLeft" state="frozen"/>
      <selection pane="bottomLeft" activeCell="H222" sqref="H222:I223"/>
    </sheetView>
  </sheetViews>
  <sheetFormatPr defaultColWidth="12.7109375" defaultRowHeight="15" customHeight="1"/>
  <cols>
    <col min="1" max="1" width="21.140625" customWidth="1"/>
    <col min="2" max="2" width="15.28515625" customWidth="1"/>
    <col min="3" max="3" width="13.42578125" customWidth="1"/>
    <col min="4" max="4" width="14.85546875" customWidth="1"/>
    <col min="5" max="5" width="22.42578125" customWidth="1"/>
    <col min="6" max="6" width="19.42578125" customWidth="1"/>
    <col min="7" max="7" width="23.85546875" customWidth="1"/>
    <col min="8" max="8" width="24.42578125" customWidth="1"/>
    <col min="9" max="9" width="18.140625" customWidth="1"/>
    <col min="10" max="26" width="12.42578125" customWidth="1"/>
  </cols>
  <sheetData>
    <row r="1" spans="1:9" ht="13.15">
      <c r="A1" s="21" t="s">
        <v>348</v>
      </c>
      <c r="B1" s="35" t="s">
        <v>349</v>
      </c>
      <c r="C1" s="35" t="s">
        <v>350</v>
      </c>
      <c r="D1" s="35" t="s">
        <v>351</v>
      </c>
      <c r="E1" s="35" t="s">
        <v>352</v>
      </c>
      <c r="F1" s="35" t="s">
        <v>353</v>
      </c>
      <c r="G1" s="35" t="s">
        <v>354</v>
      </c>
      <c r="H1" s="35" t="s">
        <v>355</v>
      </c>
      <c r="I1" s="35" t="s">
        <v>356</v>
      </c>
    </row>
    <row r="2" spans="1:9" ht="15" customHeight="1">
      <c r="A2" s="21" t="s">
        <v>357</v>
      </c>
      <c r="B2" s="21" t="s">
        <v>358</v>
      </c>
      <c r="C2" s="21" t="s">
        <v>359</v>
      </c>
      <c r="D2" s="21" t="s">
        <v>360</v>
      </c>
      <c r="E2" s="21" t="s">
        <v>361</v>
      </c>
      <c r="F2" s="21" t="s">
        <v>362</v>
      </c>
      <c r="G2" s="21" t="s">
        <v>363</v>
      </c>
      <c r="H2" s="21" t="s">
        <v>364</v>
      </c>
      <c r="I2" s="21">
        <f>+LEN(Farmer!$H2)</f>
        <v>283</v>
      </c>
    </row>
    <row r="3" spans="1:9" ht="15" customHeight="1">
      <c r="A3" s="21" t="s">
        <v>365</v>
      </c>
      <c r="B3" s="21" t="s">
        <v>366</v>
      </c>
      <c r="C3" s="21" t="s">
        <v>367</v>
      </c>
      <c r="D3" s="21" t="s">
        <v>368</v>
      </c>
      <c r="E3" s="21" t="s">
        <v>361</v>
      </c>
      <c r="F3" s="21" t="s">
        <v>369</v>
      </c>
      <c r="G3" s="21" t="s">
        <v>370</v>
      </c>
      <c r="H3" s="21" t="s">
        <v>364</v>
      </c>
      <c r="I3" s="21">
        <f>+LEN(Farmer!$H3)</f>
        <v>283</v>
      </c>
    </row>
    <row r="4" spans="1:9" ht="15" customHeight="1">
      <c r="A4" s="21" t="s">
        <v>371</v>
      </c>
      <c r="B4" s="21" t="s">
        <v>372</v>
      </c>
      <c r="C4" s="21" t="s">
        <v>373</v>
      </c>
      <c r="D4" s="21" t="s">
        <v>374</v>
      </c>
      <c r="E4" s="21" t="s">
        <v>361</v>
      </c>
      <c r="F4" s="21" t="s">
        <v>375</v>
      </c>
      <c r="G4" s="21" t="s">
        <v>376</v>
      </c>
      <c r="H4" s="21" t="s">
        <v>364</v>
      </c>
      <c r="I4" s="21">
        <f>+LEN(Farmer!$H4)</f>
        <v>283</v>
      </c>
    </row>
    <row r="5" spans="1:9" ht="15" customHeight="1">
      <c r="A5" s="21" t="s">
        <v>377</v>
      </c>
      <c r="B5" s="21" t="s">
        <v>378</v>
      </c>
      <c r="C5" s="21" t="s">
        <v>379</v>
      </c>
      <c r="D5" s="21" t="s">
        <v>380</v>
      </c>
      <c r="E5" s="21" t="s">
        <v>361</v>
      </c>
      <c r="F5" s="21" t="s">
        <v>381</v>
      </c>
      <c r="G5" s="21" t="s">
        <v>382</v>
      </c>
      <c r="H5" s="21" t="s">
        <v>364</v>
      </c>
      <c r="I5" s="21">
        <f>+LEN(Farmer!$H5)</f>
        <v>283</v>
      </c>
    </row>
    <row r="6" spans="1:9" ht="15" customHeight="1">
      <c r="A6" s="21" t="s">
        <v>383</v>
      </c>
      <c r="B6" s="21" t="s">
        <v>384</v>
      </c>
      <c r="C6" s="21" t="s">
        <v>379</v>
      </c>
      <c r="D6" s="21" t="s">
        <v>385</v>
      </c>
      <c r="E6" s="21" t="s">
        <v>361</v>
      </c>
      <c r="F6" s="21" t="s">
        <v>386</v>
      </c>
      <c r="G6" s="21" t="s">
        <v>387</v>
      </c>
      <c r="H6" s="21" t="s">
        <v>364</v>
      </c>
      <c r="I6" s="21">
        <f>+LEN(Farmer!$H6)</f>
        <v>283</v>
      </c>
    </row>
    <row r="7" spans="1:9" ht="15" customHeight="1">
      <c r="A7" s="21" t="s">
        <v>388</v>
      </c>
      <c r="B7" s="21" t="s">
        <v>389</v>
      </c>
      <c r="C7" s="21" t="s">
        <v>390</v>
      </c>
      <c r="D7" s="21" t="s">
        <v>391</v>
      </c>
      <c r="E7" s="21" t="s">
        <v>361</v>
      </c>
      <c r="F7" s="21" t="s">
        <v>392</v>
      </c>
      <c r="G7" s="21" t="s">
        <v>393</v>
      </c>
      <c r="H7" s="21" t="s">
        <v>364</v>
      </c>
      <c r="I7" s="21">
        <f>+LEN(Farmer!$H7)</f>
        <v>283</v>
      </c>
    </row>
    <row r="8" spans="1:9" ht="15" customHeight="1">
      <c r="A8" s="21" t="s">
        <v>394</v>
      </c>
      <c r="B8" s="21" t="s">
        <v>395</v>
      </c>
      <c r="C8" s="21" t="s">
        <v>396</v>
      </c>
      <c r="D8" s="21" t="s">
        <v>397</v>
      </c>
      <c r="E8" s="21" t="s">
        <v>361</v>
      </c>
      <c r="F8" s="21" t="s">
        <v>398</v>
      </c>
      <c r="G8" s="21" t="s">
        <v>399</v>
      </c>
      <c r="H8" s="21" t="s">
        <v>364</v>
      </c>
      <c r="I8" s="21">
        <f>+LEN(Farmer!$H8)</f>
        <v>283</v>
      </c>
    </row>
    <row r="9" spans="1:9" ht="15" customHeight="1">
      <c r="A9" s="21" t="s">
        <v>400</v>
      </c>
      <c r="B9" s="21" t="s">
        <v>401</v>
      </c>
      <c r="C9" s="21" t="s">
        <v>379</v>
      </c>
      <c r="D9" s="21" t="s">
        <v>402</v>
      </c>
      <c r="E9" s="21" t="s">
        <v>361</v>
      </c>
      <c r="F9" s="21" t="s">
        <v>403</v>
      </c>
      <c r="G9" s="21" t="s">
        <v>404</v>
      </c>
      <c r="H9" s="21" t="s">
        <v>364</v>
      </c>
      <c r="I9" s="21">
        <f>+LEN(Farmer!$H9)</f>
        <v>283</v>
      </c>
    </row>
    <row r="10" spans="1:9" ht="15" customHeight="1">
      <c r="A10" s="21" t="s">
        <v>405</v>
      </c>
      <c r="B10" s="21" t="s">
        <v>401</v>
      </c>
      <c r="C10" s="21" t="s">
        <v>379</v>
      </c>
      <c r="D10" s="21" t="s">
        <v>402</v>
      </c>
      <c r="E10" s="21" t="s">
        <v>361</v>
      </c>
      <c r="F10" s="21" t="s">
        <v>406</v>
      </c>
      <c r="G10" s="21" t="s">
        <v>407</v>
      </c>
      <c r="H10" s="21" t="s">
        <v>364</v>
      </c>
      <c r="I10" s="21">
        <f>+LEN(Farmer!$H10)</f>
        <v>283</v>
      </c>
    </row>
    <row r="11" spans="1:9" ht="13.15">
      <c r="A11" s="21" t="s">
        <v>408</v>
      </c>
      <c r="B11" s="21" t="s">
        <v>409</v>
      </c>
      <c r="C11" s="21" t="s">
        <v>410</v>
      </c>
      <c r="D11" s="21" t="s">
        <v>411</v>
      </c>
      <c r="E11" s="21" t="s">
        <v>361</v>
      </c>
      <c r="F11" s="21" t="s">
        <v>412</v>
      </c>
      <c r="G11" s="21" t="s">
        <v>413</v>
      </c>
      <c r="H11" s="21" t="s">
        <v>364</v>
      </c>
      <c r="I11" s="21">
        <f>+LEN(Farmer!$H11)</f>
        <v>283</v>
      </c>
    </row>
    <row r="12" spans="1:9" ht="13.15">
      <c r="A12" s="21" t="s">
        <v>414</v>
      </c>
      <c r="B12" s="21" t="s">
        <v>366</v>
      </c>
      <c r="C12" s="21" t="s">
        <v>415</v>
      </c>
      <c r="D12" s="21" t="s">
        <v>416</v>
      </c>
      <c r="E12" s="21" t="s">
        <v>361</v>
      </c>
      <c r="F12" s="21" t="s">
        <v>386</v>
      </c>
      <c r="G12" s="21" t="s">
        <v>417</v>
      </c>
      <c r="H12" s="21" t="s">
        <v>364</v>
      </c>
      <c r="I12" s="21">
        <f>+LEN(Farmer!$H12)</f>
        <v>283</v>
      </c>
    </row>
    <row r="13" spans="1:9" ht="13.15">
      <c r="A13" s="21" t="s">
        <v>418</v>
      </c>
      <c r="B13" s="21" t="s">
        <v>419</v>
      </c>
      <c r="C13" s="21" t="s">
        <v>420</v>
      </c>
      <c r="D13" s="21" t="s">
        <v>421</v>
      </c>
      <c r="E13" s="21" t="s">
        <v>361</v>
      </c>
      <c r="F13" s="21" t="s">
        <v>392</v>
      </c>
      <c r="G13" s="21" t="s">
        <v>422</v>
      </c>
      <c r="H13" s="21" t="s">
        <v>364</v>
      </c>
      <c r="I13" s="21">
        <f>+LEN(Farmer!$H13)</f>
        <v>283</v>
      </c>
    </row>
    <row r="14" spans="1:9" ht="13.15">
      <c r="A14" s="21"/>
      <c r="B14" s="21" t="s">
        <v>401</v>
      </c>
      <c r="C14" s="21" t="s">
        <v>390</v>
      </c>
      <c r="D14" s="21" t="s">
        <v>421</v>
      </c>
      <c r="E14" s="21" t="s">
        <v>361</v>
      </c>
      <c r="F14" s="21" t="s">
        <v>392</v>
      </c>
      <c r="G14" s="21" t="s">
        <v>423</v>
      </c>
      <c r="H14" s="21" t="s">
        <v>364</v>
      </c>
      <c r="I14" s="21">
        <f>+LEN(Farmer!$H14)</f>
        <v>283</v>
      </c>
    </row>
    <row r="15" spans="1:9" ht="13.15">
      <c r="A15" s="21" t="s">
        <v>424</v>
      </c>
      <c r="B15" s="21" t="s">
        <v>425</v>
      </c>
      <c r="C15" s="21" t="s">
        <v>426</v>
      </c>
      <c r="D15" s="21" t="s">
        <v>427</v>
      </c>
      <c r="E15" s="21" t="s">
        <v>361</v>
      </c>
      <c r="F15" s="21" t="s">
        <v>398</v>
      </c>
      <c r="G15" s="21" t="s">
        <v>428</v>
      </c>
      <c r="H15" s="21" t="s">
        <v>364</v>
      </c>
      <c r="I15" s="21">
        <f>+LEN(Farmer!$H15)</f>
        <v>283</v>
      </c>
    </row>
    <row r="16" spans="1:9" ht="13.15">
      <c r="A16" s="21" t="s">
        <v>429</v>
      </c>
      <c r="B16" s="21" t="s">
        <v>430</v>
      </c>
      <c r="C16" s="21" t="s">
        <v>431</v>
      </c>
      <c r="D16" s="21" t="s">
        <v>368</v>
      </c>
      <c r="E16" s="21" t="s">
        <v>361</v>
      </c>
      <c r="F16" s="21" t="s">
        <v>432</v>
      </c>
      <c r="G16" s="21" t="s">
        <v>433</v>
      </c>
      <c r="H16" s="21" t="s">
        <v>364</v>
      </c>
      <c r="I16" s="21">
        <f>+LEN(Farmer!$H16)</f>
        <v>283</v>
      </c>
    </row>
    <row r="17" spans="1:9" ht="13.15">
      <c r="A17" s="21" t="s">
        <v>434</v>
      </c>
      <c r="B17" s="21" t="s">
        <v>435</v>
      </c>
      <c r="C17" s="21" t="s">
        <v>436</v>
      </c>
      <c r="D17" s="21" t="s">
        <v>437</v>
      </c>
      <c r="E17" s="21" t="s">
        <v>361</v>
      </c>
      <c r="F17" s="21" t="s">
        <v>432</v>
      </c>
      <c r="G17" s="21" t="s">
        <v>438</v>
      </c>
      <c r="H17" s="21" t="s">
        <v>364</v>
      </c>
      <c r="I17" s="21">
        <f>+LEN(Farmer!$H17)</f>
        <v>283</v>
      </c>
    </row>
    <row r="18" spans="1:9" ht="13.15">
      <c r="A18" s="21" t="s">
        <v>439</v>
      </c>
      <c r="B18" s="21" t="s">
        <v>440</v>
      </c>
      <c r="C18" s="21" t="s">
        <v>441</v>
      </c>
      <c r="D18" s="21" t="s">
        <v>442</v>
      </c>
      <c r="E18" s="21" t="s">
        <v>361</v>
      </c>
      <c r="F18" s="21" t="s">
        <v>443</v>
      </c>
      <c r="G18" s="21" t="s">
        <v>444</v>
      </c>
      <c r="H18" s="21" t="s">
        <v>364</v>
      </c>
      <c r="I18" s="21">
        <f>+LEN(Farmer!$H18)</f>
        <v>283</v>
      </c>
    </row>
    <row r="19" spans="1:9" ht="13.15">
      <c r="A19" s="21" t="s">
        <v>445</v>
      </c>
      <c r="B19" s="21" t="s">
        <v>435</v>
      </c>
      <c r="C19" s="21" t="s">
        <v>446</v>
      </c>
      <c r="D19" s="21" t="s">
        <v>447</v>
      </c>
      <c r="E19" s="21" t="s">
        <v>361</v>
      </c>
      <c r="F19" s="21" t="s">
        <v>386</v>
      </c>
      <c r="G19" s="21" t="s">
        <v>448</v>
      </c>
      <c r="H19" s="21" t="s">
        <v>364</v>
      </c>
      <c r="I19" s="21">
        <f>+LEN(Farmer!$H19)</f>
        <v>283</v>
      </c>
    </row>
    <row r="20" spans="1:9" ht="13.15">
      <c r="A20" s="21" t="s">
        <v>449</v>
      </c>
      <c r="B20" s="21" t="s">
        <v>450</v>
      </c>
      <c r="C20" s="21" t="s">
        <v>396</v>
      </c>
      <c r="D20" s="21" t="s">
        <v>451</v>
      </c>
      <c r="E20" s="21" t="s">
        <v>452</v>
      </c>
      <c r="F20" s="21" t="s">
        <v>453</v>
      </c>
      <c r="G20" s="21" t="s">
        <v>454</v>
      </c>
      <c r="H20" s="21" t="s">
        <v>364</v>
      </c>
      <c r="I20" s="21">
        <f>+LEN(Farmer!$H20)</f>
        <v>283</v>
      </c>
    </row>
    <row r="21" spans="1:9" ht="13.15">
      <c r="A21" s="21" t="s">
        <v>449</v>
      </c>
      <c r="B21" s="21" t="s">
        <v>450</v>
      </c>
      <c r="C21" s="21" t="s">
        <v>396</v>
      </c>
      <c r="D21" s="21" t="s">
        <v>455</v>
      </c>
      <c r="E21" s="21" t="s">
        <v>456</v>
      </c>
      <c r="F21" s="21" t="s">
        <v>453</v>
      </c>
      <c r="G21" s="21" t="s">
        <v>457</v>
      </c>
      <c r="H21" s="21" t="s">
        <v>364</v>
      </c>
      <c r="I21" s="21">
        <f>+LEN(Farmer!$H21)</f>
        <v>283</v>
      </c>
    </row>
    <row r="22" spans="1:9" ht="13.15">
      <c r="A22" s="21" t="s">
        <v>458</v>
      </c>
      <c r="B22" s="21" t="s">
        <v>450</v>
      </c>
      <c r="C22" s="21" t="s">
        <v>446</v>
      </c>
      <c r="D22" s="21" t="s">
        <v>447</v>
      </c>
      <c r="E22" s="21" t="s">
        <v>361</v>
      </c>
      <c r="F22" s="21" t="s">
        <v>386</v>
      </c>
      <c r="G22" s="21" t="s">
        <v>459</v>
      </c>
      <c r="H22" s="21" t="s">
        <v>364</v>
      </c>
      <c r="I22" s="21">
        <f>+LEN(Farmer!$H22)</f>
        <v>283</v>
      </c>
    </row>
    <row r="23" spans="1:9" ht="13.15">
      <c r="A23" s="21" t="s">
        <v>460</v>
      </c>
      <c r="B23" s="21" t="s">
        <v>461</v>
      </c>
      <c r="C23" s="21" t="s">
        <v>431</v>
      </c>
      <c r="D23" s="21" t="s">
        <v>462</v>
      </c>
      <c r="E23" s="21" t="s">
        <v>463</v>
      </c>
      <c r="F23" s="21" t="s">
        <v>464</v>
      </c>
      <c r="G23" s="21" t="s">
        <v>465</v>
      </c>
      <c r="H23" s="21" t="s">
        <v>364</v>
      </c>
      <c r="I23" s="21">
        <f>+LEN(Farmer!$H23)</f>
        <v>283</v>
      </c>
    </row>
    <row r="24" spans="1:9" ht="13.15">
      <c r="A24" s="21" t="s">
        <v>466</v>
      </c>
      <c r="B24" s="21" t="s">
        <v>467</v>
      </c>
      <c r="C24" s="21" t="s">
        <v>367</v>
      </c>
      <c r="D24" s="21" t="s">
        <v>468</v>
      </c>
      <c r="E24" s="21" t="s">
        <v>361</v>
      </c>
      <c r="F24" s="21" t="s">
        <v>469</v>
      </c>
      <c r="G24" s="21" t="s">
        <v>470</v>
      </c>
      <c r="H24" s="21" t="s">
        <v>364</v>
      </c>
      <c r="I24" s="21">
        <f>+LEN(Farmer!$H24)</f>
        <v>283</v>
      </c>
    </row>
    <row r="25" spans="1:9" ht="13.15">
      <c r="A25" s="21" t="s">
        <v>471</v>
      </c>
      <c r="B25" s="21" t="s">
        <v>472</v>
      </c>
      <c r="C25" s="21" t="s">
        <v>473</v>
      </c>
      <c r="D25" s="21" t="s">
        <v>385</v>
      </c>
      <c r="E25" s="21" t="s">
        <v>361</v>
      </c>
      <c r="F25" s="21" t="s">
        <v>386</v>
      </c>
      <c r="G25" s="21" t="s">
        <v>474</v>
      </c>
      <c r="H25" s="21" t="s">
        <v>364</v>
      </c>
      <c r="I25" s="21">
        <f>+LEN(Farmer!$H25)</f>
        <v>283</v>
      </c>
    </row>
    <row r="26" spans="1:9" ht="13.15">
      <c r="A26" s="21" t="s">
        <v>475</v>
      </c>
      <c r="B26" s="21" t="s">
        <v>476</v>
      </c>
      <c r="C26" s="21" t="s">
        <v>359</v>
      </c>
      <c r="D26" s="21" t="s">
        <v>397</v>
      </c>
      <c r="E26" s="21" t="s">
        <v>463</v>
      </c>
      <c r="F26" s="21" t="s">
        <v>477</v>
      </c>
      <c r="G26" s="21" t="s">
        <v>478</v>
      </c>
      <c r="H26" s="21" t="s">
        <v>364</v>
      </c>
      <c r="I26" s="21">
        <f>+LEN(Farmer!$H26)</f>
        <v>283</v>
      </c>
    </row>
    <row r="27" spans="1:9" ht="13.15">
      <c r="A27" s="21" t="s">
        <v>479</v>
      </c>
      <c r="B27" s="21" t="s">
        <v>480</v>
      </c>
      <c r="C27" s="21" t="s">
        <v>481</v>
      </c>
      <c r="D27" s="21" t="s">
        <v>416</v>
      </c>
      <c r="E27" s="21" t="s">
        <v>361</v>
      </c>
      <c r="F27" s="21" t="s">
        <v>386</v>
      </c>
      <c r="G27" s="21" t="s">
        <v>482</v>
      </c>
      <c r="H27" s="21" t="s">
        <v>364</v>
      </c>
      <c r="I27" s="21">
        <f>+LEN(Farmer!$H27)</f>
        <v>283</v>
      </c>
    </row>
    <row r="28" spans="1:9" ht="13.15">
      <c r="A28" s="21" t="s">
        <v>483</v>
      </c>
      <c r="B28" s="21" t="s">
        <v>484</v>
      </c>
      <c r="C28" s="21" t="s">
        <v>485</v>
      </c>
      <c r="D28" s="21" t="s">
        <v>486</v>
      </c>
      <c r="E28" s="21" t="s">
        <v>487</v>
      </c>
      <c r="F28" s="21" t="s">
        <v>488</v>
      </c>
      <c r="G28" s="21" t="s">
        <v>489</v>
      </c>
      <c r="H28" s="21" t="s">
        <v>364</v>
      </c>
      <c r="I28" s="21">
        <f>+LEN(Farmer!$H28)</f>
        <v>283</v>
      </c>
    </row>
    <row r="29" spans="1:9" ht="13.15">
      <c r="A29" s="21" t="s">
        <v>490</v>
      </c>
      <c r="B29" s="21" t="s">
        <v>484</v>
      </c>
      <c r="C29" s="21" t="s">
        <v>491</v>
      </c>
      <c r="D29" s="21" t="s">
        <v>492</v>
      </c>
      <c r="E29" s="21" t="s">
        <v>493</v>
      </c>
      <c r="F29" s="21" t="s">
        <v>488</v>
      </c>
      <c r="G29" s="21" t="s">
        <v>489</v>
      </c>
      <c r="H29" s="21" t="s">
        <v>364</v>
      </c>
      <c r="I29" s="21">
        <f>+LEN(Farmer!$H29)</f>
        <v>283</v>
      </c>
    </row>
    <row r="30" spans="1:9" ht="13.15">
      <c r="A30" s="21" t="s">
        <v>494</v>
      </c>
      <c r="B30" s="21" t="s">
        <v>495</v>
      </c>
      <c r="C30" s="21" t="s">
        <v>496</v>
      </c>
      <c r="D30" s="21" t="s">
        <v>497</v>
      </c>
      <c r="E30" s="21" t="s">
        <v>361</v>
      </c>
      <c r="F30" s="21" t="s">
        <v>498</v>
      </c>
      <c r="G30" s="21" t="s">
        <v>489</v>
      </c>
      <c r="H30" s="21" t="s">
        <v>364</v>
      </c>
      <c r="I30" s="21">
        <f>+LEN(Farmer!$H30)</f>
        <v>283</v>
      </c>
    </row>
    <row r="31" spans="1:9" ht="13.15">
      <c r="A31" s="36" t="s">
        <v>499</v>
      </c>
      <c r="B31" s="36" t="s">
        <v>500</v>
      </c>
      <c r="C31" s="36" t="s">
        <v>485</v>
      </c>
      <c r="D31" s="36" t="s">
        <v>486</v>
      </c>
      <c r="E31" s="36" t="s">
        <v>493</v>
      </c>
      <c r="F31" s="36" t="s">
        <v>488</v>
      </c>
      <c r="G31" s="21" t="s">
        <v>489</v>
      </c>
      <c r="H31" s="21" t="s">
        <v>364</v>
      </c>
      <c r="I31" s="21">
        <f>+LEN(Farmer!$H31)</f>
        <v>283</v>
      </c>
    </row>
    <row r="32" spans="1:9" ht="13.15">
      <c r="A32" s="21" t="s">
        <v>501</v>
      </c>
      <c r="B32" s="21" t="s">
        <v>389</v>
      </c>
      <c r="C32" s="21" t="s">
        <v>502</v>
      </c>
      <c r="D32" s="21" t="s">
        <v>368</v>
      </c>
      <c r="E32" s="21" t="s">
        <v>361</v>
      </c>
      <c r="F32" s="21" t="s">
        <v>369</v>
      </c>
      <c r="G32" s="21" t="s">
        <v>503</v>
      </c>
      <c r="H32" s="21" t="s">
        <v>364</v>
      </c>
      <c r="I32" s="21">
        <f>+LEN(Farmer!$H32)</f>
        <v>283</v>
      </c>
    </row>
    <row r="33" spans="1:9" ht="13.15">
      <c r="A33" s="21" t="s">
        <v>504</v>
      </c>
      <c r="B33" s="21" t="s">
        <v>505</v>
      </c>
      <c r="C33" s="21" t="s">
        <v>396</v>
      </c>
      <c r="D33" s="21" t="s">
        <v>451</v>
      </c>
      <c r="E33" s="21" t="s">
        <v>361</v>
      </c>
      <c r="F33" s="21" t="s">
        <v>506</v>
      </c>
      <c r="G33" s="21" t="s">
        <v>507</v>
      </c>
      <c r="H33" s="21" t="s">
        <v>364</v>
      </c>
      <c r="I33" s="21">
        <f>+LEN(Farmer!$H33)</f>
        <v>283</v>
      </c>
    </row>
    <row r="34" spans="1:9" ht="13.15">
      <c r="A34" s="21" t="s">
        <v>508</v>
      </c>
      <c r="B34" s="21" t="s">
        <v>409</v>
      </c>
      <c r="C34" s="21" t="s">
        <v>379</v>
      </c>
      <c r="D34" s="21" t="s">
        <v>509</v>
      </c>
      <c r="E34" s="21" t="s">
        <v>463</v>
      </c>
      <c r="F34" s="21" t="s">
        <v>392</v>
      </c>
      <c r="G34" s="21" t="s">
        <v>510</v>
      </c>
      <c r="H34" s="21" t="s">
        <v>364</v>
      </c>
      <c r="I34" s="21">
        <f>+LEN(Farmer!$H34)</f>
        <v>283</v>
      </c>
    </row>
    <row r="35" spans="1:9" ht="13.15">
      <c r="A35" s="21" t="s">
        <v>511</v>
      </c>
      <c r="B35" s="21" t="s">
        <v>401</v>
      </c>
      <c r="C35" s="21" t="s">
        <v>512</v>
      </c>
      <c r="D35" s="21" t="s">
        <v>411</v>
      </c>
      <c r="E35" s="21" t="s">
        <v>361</v>
      </c>
      <c r="F35" s="21" t="s">
        <v>506</v>
      </c>
      <c r="G35" s="21" t="s">
        <v>513</v>
      </c>
      <c r="H35" s="21" t="s">
        <v>364</v>
      </c>
      <c r="I35" s="21">
        <f>+LEN(Farmer!$H35)</f>
        <v>283</v>
      </c>
    </row>
    <row r="36" spans="1:9" ht="13.15">
      <c r="A36" s="21" t="s">
        <v>514</v>
      </c>
      <c r="B36" s="21" t="s">
        <v>515</v>
      </c>
      <c r="C36" s="21" t="s">
        <v>516</v>
      </c>
      <c r="D36" s="21" t="s">
        <v>517</v>
      </c>
      <c r="E36" s="21" t="s">
        <v>361</v>
      </c>
      <c r="F36" s="21" t="s">
        <v>518</v>
      </c>
      <c r="G36" s="21" t="s">
        <v>519</v>
      </c>
      <c r="H36" s="21" t="s">
        <v>364</v>
      </c>
      <c r="I36" s="21">
        <f>+LEN(Farmer!$H36)</f>
        <v>283</v>
      </c>
    </row>
    <row r="37" spans="1:9" ht="13.15">
      <c r="A37" s="21" t="s">
        <v>520</v>
      </c>
      <c r="B37" s="21" t="s">
        <v>521</v>
      </c>
      <c r="C37" s="21" t="s">
        <v>522</v>
      </c>
      <c r="D37" s="21" t="s">
        <v>523</v>
      </c>
      <c r="E37" s="21" t="s">
        <v>361</v>
      </c>
      <c r="F37" s="21" t="s">
        <v>524</v>
      </c>
      <c r="G37" s="21" t="s">
        <v>525</v>
      </c>
      <c r="H37" s="21" t="s">
        <v>364</v>
      </c>
      <c r="I37" s="21">
        <f>+LEN(Farmer!$H37)</f>
        <v>283</v>
      </c>
    </row>
    <row r="38" spans="1:9" ht="13.15">
      <c r="A38" s="21" t="s">
        <v>526</v>
      </c>
      <c r="B38" s="21" t="s">
        <v>430</v>
      </c>
      <c r="C38" s="21" t="s">
        <v>431</v>
      </c>
      <c r="D38" s="21" t="s">
        <v>527</v>
      </c>
      <c r="E38" s="21" t="s">
        <v>361</v>
      </c>
      <c r="F38" s="21" t="s">
        <v>432</v>
      </c>
      <c r="G38" s="21" t="s">
        <v>528</v>
      </c>
      <c r="H38" s="21" t="s">
        <v>364</v>
      </c>
      <c r="I38" s="21">
        <f>+LEN(Farmer!$H38)</f>
        <v>283</v>
      </c>
    </row>
    <row r="39" spans="1:9" ht="13.15">
      <c r="A39" s="21" t="s">
        <v>529</v>
      </c>
      <c r="B39" s="21" t="s">
        <v>530</v>
      </c>
      <c r="C39" s="21" t="s">
        <v>531</v>
      </c>
      <c r="D39" s="21" t="s">
        <v>416</v>
      </c>
      <c r="E39" s="21" t="s">
        <v>361</v>
      </c>
      <c r="F39" s="21" t="s">
        <v>506</v>
      </c>
      <c r="G39" s="21" t="s">
        <v>532</v>
      </c>
      <c r="H39" s="21" t="s">
        <v>364</v>
      </c>
      <c r="I39" s="21">
        <f>+LEN(Farmer!$H39)</f>
        <v>283</v>
      </c>
    </row>
    <row r="40" spans="1:9" ht="13.15">
      <c r="A40" s="21" t="s">
        <v>533</v>
      </c>
      <c r="B40" s="21" t="s">
        <v>534</v>
      </c>
      <c r="C40" s="21" t="s">
        <v>531</v>
      </c>
      <c r="D40" s="21" t="s">
        <v>416</v>
      </c>
      <c r="E40" s="21" t="s">
        <v>361</v>
      </c>
      <c r="F40" s="21" t="s">
        <v>506</v>
      </c>
      <c r="G40" s="21" t="s">
        <v>532</v>
      </c>
      <c r="H40" s="21"/>
      <c r="I40" s="21"/>
    </row>
    <row r="41" spans="1:9" ht="13.15">
      <c r="A41" s="21" t="s">
        <v>535</v>
      </c>
      <c r="B41" s="21" t="s">
        <v>536</v>
      </c>
      <c r="C41" s="21" t="s">
        <v>426</v>
      </c>
      <c r="D41" s="21" t="s">
        <v>537</v>
      </c>
      <c r="E41" s="21" t="s">
        <v>463</v>
      </c>
      <c r="F41" s="21" t="s">
        <v>538</v>
      </c>
      <c r="G41" s="21" t="s">
        <v>539</v>
      </c>
      <c r="H41" s="21" t="s">
        <v>364</v>
      </c>
      <c r="I41" s="21">
        <f>+LEN(Farmer!$H41)</f>
        <v>283</v>
      </c>
    </row>
    <row r="42" spans="1:9" ht="13.15">
      <c r="A42" s="21" t="s">
        <v>540</v>
      </c>
      <c r="B42" s="21" t="s">
        <v>541</v>
      </c>
      <c r="C42" s="21" t="s">
        <v>426</v>
      </c>
      <c r="D42" s="21" t="s">
        <v>542</v>
      </c>
      <c r="E42" s="21" t="s">
        <v>361</v>
      </c>
      <c r="F42" s="21" t="s">
        <v>488</v>
      </c>
      <c r="G42" s="21" t="s">
        <v>543</v>
      </c>
      <c r="H42" s="21" t="s">
        <v>364</v>
      </c>
      <c r="I42" s="21">
        <f>+LEN(Farmer!$H42)</f>
        <v>283</v>
      </c>
    </row>
    <row r="43" spans="1:9" ht="13.15">
      <c r="A43" s="21" t="s">
        <v>544</v>
      </c>
      <c r="B43" s="21" t="s">
        <v>545</v>
      </c>
      <c r="C43" s="21" t="s">
        <v>446</v>
      </c>
      <c r="D43" s="21" t="s">
        <v>546</v>
      </c>
      <c r="E43" s="21" t="s">
        <v>361</v>
      </c>
      <c r="F43" s="21" t="s">
        <v>381</v>
      </c>
      <c r="G43" s="21" t="s">
        <v>547</v>
      </c>
      <c r="H43" s="21" t="s">
        <v>364</v>
      </c>
      <c r="I43" s="21">
        <f>+LEN(Farmer!$H43)</f>
        <v>283</v>
      </c>
    </row>
    <row r="44" spans="1:9" ht="13.15">
      <c r="A44" s="21" t="s">
        <v>548</v>
      </c>
      <c r="B44" s="21" t="s">
        <v>409</v>
      </c>
      <c r="C44" s="21" t="s">
        <v>549</v>
      </c>
      <c r="D44" s="21" t="s">
        <v>550</v>
      </c>
      <c r="E44" s="21" t="s">
        <v>463</v>
      </c>
      <c r="F44" s="21" t="s">
        <v>551</v>
      </c>
      <c r="G44" s="21" t="s">
        <v>552</v>
      </c>
      <c r="H44" s="21" t="s">
        <v>364</v>
      </c>
      <c r="I44" s="21">
        <f>+LEN(Farmer!$H44)</f>
        <v>283</v>
      </c>
    </row>
    <row r="45" spans="1:9" ht="13.15">
      <c r="A45" s="21" t="s">
        <v>553</v>
      </c>
      <c r="B45" s="21" t="s">
        <v>554</v>
      </c>
      <c r="C45" s="21" t="s">
        <v>473</v>
      </c>
      <c r="D45" s="21" t="s">
        <v>555</v>
      </c>
      <c r="E45" s="21" t="s">
        <v>556</v>
      </c>
      <c r="F45" s="21" t="s">
        <v>392</v>
      </c>
      <c r="G45" s="21" t="s">
        <v>557</v>
      </c>
      <c r="H45" s="21" t="s">
        <v>364</v>
      </c>
      <c r="I45" s="21">
        <f>+LEN(Farmer!$H45)</f>
        <v>283</v>
      </c>
    </row>
    <row r="46" spans="1:9" ht="13.15">
      <c r="A46" s="21" t="s">
        <v>558</v>
      </c>
      <c r="B46" s="21" t="s">
        <v>559</v>
      </c>
      <c r="C46" s="21" t="s">
        <v>560</v>
      </c>
      <c r="D46" s="21" t="s">
        <v>411</v>
      </c>
      <c r="E46" s="21" t="s">
        <v>361</v>
      </c>
      <c r="F46" s="21" t="s">
        <v>561</v>
      </c>
      <c r="G46" s="21" t="s">
        <v>562</v>
      </c>
      <c r="H46" s="21" t="s">
        <v>364</v>
      </c>
      <c r="I46" s="21">
        <f>+LEN(Farmer!$H46)</f>
        <v>283</v>
      </c>
    </row>
    <row r="47" spans="1:9" ht="13.15">
      <c r="A47" s="21" t="s">
        <v>563</v>
      </c>
      <c r="B47" s="21" t="s">
        <v>430</v>
      </c>
      <c r="C47" s="21" t="s">
        <v>560</v>
      </c>
      <c r="D47" s="21" t="s">
        <v>411</v>
      </c>
      <c r="E47" s="21" t="s">
        <v>361</v>
      </c>
      <c r="F47" s="21" t="s">
        <v>561</v>
      </c>
      <c r="G47" s="21" t="s">
        <v>562</v>
      </c>
      <c r="H47" s="21" t="s">
        <v>364</v>
      </c>
      <c r="I47" s="21">
        <f>+LEN(Farmer!$H47)</f>
        <v>283</v>
      </c>
    </row>
    <row r="48" spans="1:9" ht="13.15">
      <c r="A48" s="21" t="s">
        <v>564</v>
      </c>
      <c r="B48" s="21" t="s">
        <v>565</v>
      </c>
      <c r="C48" s="21" t="s">
        <v>560</v>
      </c>
      <c r="D48" s="21" t="s">
        <v>566</v>
      </c>
      <c r="E48" s="21" t="s">
        <v>361</v>
      </c>
      <c r="F48" s="21" t="s">
        <v>567</v>
      </c>
      <c r="G48" s="21" t="s">
        <v>568</v>
      </c>
      <c r="H48" s="21" t="s">
        <v>364</v>
      </c>
      <c r="I48" s="21">
        <f>+LEN(Farmer!$H48)</f>
        <v>283</v>
      </c>
    </row>
    <row r="49" spans="1:9" ht="13.15">
      <c r="A49" s="21" t="s">
        <v>569</v>
      </c>
      <c r="B49" s="21" t="s">
        <v>570</v>
      </c>
      <c r="C49" s="21" t="s">
        <v>390</v>
      </c>
      <c r="D49" s="21" t="s">
        <v>555</v>
      </c>
      <c r="E49" s="21" t="s">
        <v>361</v>
      </c>
      <c r="F49" s="21" t="s">
        <v>381</v>
      </c>
      <c r="G49" s="21" t="s">
        <v>571</v>
      </c>
      <c r="H49" s="21" t="s">
        <v>364</v>
      </c>
      <c r="I49" s="21">
        <f>+LEN(Farmer!$H49)</f>
        <v>283</v>
      </c>
    </row>
    <row r="50" spans="1:9" ht="13.15">
      <c r="A50" s="21" t="s">
        <v>572</v>
      </c>
      <c r="B50" s="21" t="s">
        <v>573</v>
      </c>
      <c r="C50" s="21" t="s">
        <v>390</v>
      </c>
      <c r="D50" s="21" t="s">
        <v>421</v>
      </c>
      <c r="E50" s="21" t="s">
        <v>361</v>
      </c>
      <c r="F50" s="21" t="s">
        <v>392</v>
      </c>
      <c r="G50" s="21" t="s">
        <v>574</v>
      </c>
      <c r="H50" s="21" t="s">
        <v>364</v>
      </c>
      <c r="I50" s="21">
        <f>+LEN(Farmer!$H50)</f>
        <v>283</v>
      </c>
    </row>
    <row r="51" spans="1:9" ht="13.15">
      <c r="A51" s="21" t="s">
        <v>575</v>
      </c>
      <c r="B51" s="21" t="s">
        <v>515</v>
      </c>
      <c r="C51" s="21" t="s">
        <v>576</v>
      </c>
      <c r="D51" s="21" t="s">
        <v>385</v>
      </c>
      <c r="E51" s="21" t="s">
        <v>361</v>
      </c>
      <c r="F51" s="21" t="s">
        <v>386</v>
      </c>
      <c r="G51" s="21" t="s">
        <v>577</v>
      </c>
      <c r="H51" s="21" t="s">
        <v>364</v>
      </c>
      <c r="I51" s="21">
        <f>+LEN(Farmer!$H51)</f>
        <v>283</v>
      </c>
    </row>
    <row r="52" spans="1:9" ht="13.15">
      <c r="A52" s="21" t="s">
        <v>578</v>
      </c>
      <c r="B52" s="21" t="s">
        <v>579</v>
      </c>
      <c r="C52" s="37" t="s">
        <v>522</v>
      </c>
      <c r="D52" s="21" t="s">
        <v>580</v>
      </c>
      <c r="E52" s="21" t="s">
        <v>361</v>
      </c>
      <c r="F52" s="21" t="s">
        <v>581</v>
      </c>
      <c r="G52" s="21" t="s">
        <v>582</v>
      </c>
      <c r="H52" s="21" t="s">
        <v>364</v>
      </c>
      <c r="I52" s="21">
        <f>+LEN(Farmer!$H52)</f>
        <v>283</v>
      </c>
    </row>
    <row r="53" spans="1:9" ht="13.15">
      <c r="A53" s="21" t="s">
        <v>583</v>
      </c>
      <c r="B53" s="21" t="s">
        <v>389</v>
      </c>
      <c r="C53" s="21" t="s">
        <v>410</v>
      </c>
      <c r="D53" s="21" t="s">
        <v>584</v>
      </c>
      <c r="E53" s="21" t="s">
        <v>463</v>
      </c>
      <c r="F53" s="21"/>
      <c r="G53" s="21" t="s">
        <v>585</v>
      </c>
      <c r="H53" s="21" t="s">
        <v>364</v>
      </c>
      <c r="I53" s="21">
        <f>+LEN(Farmer!$H53)</f>
        <v>283</v>
      </c>
    </row>
    <row r="54" spans="1:9" ht="13.15">
      <c r="A54" s="21" t="s">
        <v>586</v>
      </c>
      <c r="B54" s="21" t="s">
        <v>587</v>
      </c>
      <c r="C54" s="21" t="s">
        <v>473</v>
      </c>
      <c r="D54" s="21" t="s">
        <v>411</v>
      </c>
      <c r="E54" s="21" t="s">
        <v>361</v>
      </c>
      <c r="F54" s="21" t="s">
        <v>381</v>
      </c>
      <c r="G54" s="21" t="s">
        <v>588</v>
      </c>
      <c r="H54" s="21" t="s">
        <v>364</v>
      </c>
      <c r="I54" s="21">
        <f>+LEN(Farmer!$H54)</f>
        <v>283</v>
      </c>
    </row>
    <row r="55" spans="1:9" ht="13.15">
      <c r="A55" s="21" t="s">
        <v>589</v>
      </c>
      <c r="B55" s="21" t="s">
        <v>590</v>
      </c>
      <c r="C55" s="21" t="s">
        <v>410</v>
      </c>
      <c r="D55" s="21" t="s">
        <v>591</v>
      </c>
      <c r="E55" s="21" t="s">
        <v>452</v>
      </c>
      <c r="F55" s="21" t="s">
        <v>561</v>
      </c>
      <c r="G55" s="21" t="s">
        <v>592</v>
      </c>
      <c r="H55" s="21" t="s">
        <v>364</v>
      </c>
      <c r="I55" s="21">
        <f>+LEN(Farmer!$H55)</f>
        <v>283</v>
      </c>
    </row>
    <row r="56" spans="1:9" ht="13.15">
      <c r="A56" s="21" t="s">
        <v>593</v>
      </c>
      <c r="B56" s="21" t="s">
        <v>594</v>
      </c>
      <c r="C56" s="21" t="s">
        <v>576</v>
      </c>
      <c r="D56" s="21" t="s">
        <v>385</v>
      </c>
      <c r="E56" s="21" t="s">
        <v>361</v>
      </c>
      <c r="F56" s="21" t="s">
        <v>595</v>
      </c>
      <c r="G56" s="21" t="s">
        <v>596</v>
      </c>
      <c r="H56" s="21" t="s">
        <v>364</v>
      </c>
      <c r="I56" s="21">
        <f>+LEN(Farmer!$H56)</f>
        <v>283</v>
      </c>
    </row>
    <row r="57" spans="1:9" ht="13.15">
      <c r="A57" s="21" t="s">
        <v>597</v>
      </c>
      <c r="B57" s="21" t="s">
        <v>598</v>
      </c>
      <c r="C57" s="21" t="s">
        <v>599</v>
      </c>
      <c r="D57" s="21" t="s">
        <v>550</v>
      </c>
      <c r="E57" s="21" t="s">
        <v>361</v>
      </c>
      <c r="F57" s="21" t="s">
        <v>600</v>
      </c>
      <c r="G57" s="21" t="s">
        <v>601</v>
      </c>
      <c r="H57" s="21" t="s">
        <v>364</v>
      </c>
      <c r="I57" s="21">
        <f>+LEN(Farmer!$H57)</f>
        <v>283</v>
      </c>
    </row>
    <row r="58" spans="1:9" ht="13.15">
      <c r="A58" s="21" t="s">
        <v>602</v>
      </c>
      <c r="B58" s="21" t="s">
        <v>389</v>
      </c>
      <c r="C58" s="21" t="s">
        <v>502</v>
      </c>
      <c r="D58" s="21" t="s">
        <v>368</v>
      </c>
      <c r="E58" s="21" t="s">
        <v>361</v>
      </c>
      <c r="F58" s="21" t="s">
        <v>369</v>
      </c>
      <c r="G58" s="21" t="s">
        <v>603</v>
      </c>
      <c r="H58" s="21" t="s">
        <v>364</v>
      </c>
      <c r="I58" s="21">
        <f>+LEN(Farmer!$H58)</f>
        <v>283</v>
      </c>
    </row>
    <row r="59" spans="1:9" ht="13.15">
      <c r="A59" s="21" t="s">
        <v>604</v>
      </c>
      <c r="B59" s="21" t="s">
        <v>605</v>
      </c>
      <c r="C59" s="21" t="s">
        <v>606</v>
      </c>
      <c r="D59" s="21" t="s">
        <v>402</v>
      </c>
      <c r="E59" s="21" t="s">
        <v>463</v>
      </c>
      <c r="F59" s="21"/>
      <c r="G59" s="21" t="s">
        <v>607</v>
      </c>
      <c r="H59" s="21" t="s">
        <v>364</v>
      </c>
      <c r="I59" s="21">
        <f>+LEN(Farmer!$H59)</f>
        <v>283</v>
      </c>
    </row>
    <row r="60" spans="1:9" ht="13.15">
      <c r="A60" s="21" t="s">
        <v>608</v>
      </c>
      <c r="B60" s="21" t="s">
        <v>389</v>
      </c>
      <c r="C60" s="21" t="s">
        <v>502</v>
      </c>
      <c r="D60" s="21" t="s">
        <v>368</v>
      </c>
      <c r="E60" s="21" t="s">
        <v>361</v>
      </c>
      <c r="F60" s="21" t="s">
        <v>581</v>
      </c>
      <c r="G60" s="21" t="s">
        <v>609</v>
      </c>
      <c r="H60" s="21" t="s">
        <v>364</v>
      </c>
      <c r="I60" s="21">
        <f>+LEN(Farmer!$H60)</f>
        <v>283</v>
      </c>
    </row>
    <row r="61" spans="1:9" ht="13.15">
      <c r="A61" s="21" t="s">
        <v>610</v>
      </c>
      <c r="B61" s="21" t="s">
        <v>611</v>
      </c>
      <c r="C61" s="21" t="s">
        <v>473</v>
      </c>
      <c r="D61" s="21" t="s">
        <v>411</v>
      </c>
      <c r="E61" s="21" t="s">
        <v>361</v>
      </c>
      <c r="F61" s="21" t="s">
        <v>381</v>
      </c>
      <c r="G61" s="21" t="s">
        <v>612</v>
      </c>
      <c r="H61" s="21" t="s">
        <v>364</v>
      </c>
      <c r="I61" s="21">
        <f>+LEN(Farmer!$H61)</f>
        <v>283</v>
      </c>
    </row>
    <row r="62" spans="1:9" ht="13.15">
      <c r="A62" s="21" t="s">
        <v>613</v>
      </c>
      <c r="B62" s="21" t="s">
        <v>614</v>
      </c>
      <c r="C62" s="21" t="s">
        <v>615</v>
      </c>
      <c r="D62" s="21" t="s">
        <v>486</v>
      </c>
      <c r="E62" s="21" t="s">
        <v>361</v>
      </c>
      <c r="F62" s="21" t="s">
        <v>488</v>
      </c>
      <c r="G62" s="21" t="s">
        <v>616</v>
      </c>
      <c r="H62" s="21" t="s">
        <v>364</v>
      </c>
      <c r="I62" s="21"/>
    </row>
    <row r="63" spans="1:9" ht="13.15">
      <c r="A63" s="21" t="s">
        <v>617</v>
      </c>
      <c r="B63" s="21" t="s">
        <v>484</v>
      </c>
      <c r="C63" s="21" t="s">
        <v>485</v>
      </c>
      <c r="D63" s="21" t="s">
        <v>486</v>
      </c>
      <c r="E63" s="21" t="s">
        <v>361</v>
      </c>
      <c r="F63" s="21" t="s">
        <v>488</v>
      </c>
      <c r="G63" s="21" t="s">
        <v>616</v>
      </c>
      <c r="H63" s="21" t="s">
        <v>364</v>
      </c>
      <c r="I63" s="21">
        <f>+LEN(Farmer!$H63)</f>
        <v>283</v>
      </c>
    </row>
    <row r="64" spans="1:9" ht="13.15">
      <c r="A64" s="21" t="s">
        <v>618</v>
      </c>
      <c r="B64" s="21" t="s">
        <v>484</v>
      </c>
      <c r="C64" s="21" t="s">
        <v>485</v>
      </c>
      <c r="D64" s="21" t="s">
        <v>486</v>
      </c>
      <c r="E64" s="21" t="s">
        <v>487</v>
      </c>
      <c r="F64" s="21" t="s">
        <v>488</v>
      </c>
      <c r="G64" s="21" t="s">
        <v>616</v>
      </c>
      <c r="H64" s="21" t="s">
        <v>364</v>
      </c>
      <c r="I64" s="21">
        <f>+LEN(Farmer!$H64)</f>
        <v>283</v>
      </c>
    </row>
    <row r="65" spans="1:9" ht="13.15">
      <c r="A65" s="21" t="s">
        <v>619</v>
      </c>
      <c r="B65" s="21" t="s">
        <v>620</v>
      </c>
      <c r="C65" s="21" t="s">
        <v>621</v>
      </c>
      <c r="D65" s="21" t="s">
        <v>622</v>
      </c>
      <c r="E65" s="21" t="s">
        <v>361</v>
      </c>
      <c r="F65" s="21" t="s">
        <v>488</v>
      </c>
      <c r="G65" s="21" t="s">
        <v>616</v>
      </c>
      <c r="H65" s="21" t="s">
        <v>364</v>
      </c>
      <c r="I65" s="21">
        <f>+LEN(Farmer!$H65)</f>
        <v>283</v>
      </c>
    </row>
    <row r="66" spans="1:9" ht="13.15">
      <c r="A66" s="21" t="s">
        <v>623</v>
      </c>
      <c r="B66" s="21" t="s">
        <v>536</v>
      </c>
      <c r="C66" s="21" t="s">
        <v>624</v>
      </c>
      <c r="D66" s="21" t="s">
        <v>411</v>
      </c>
      <c r="E66" s="21" t="s">
        <v>361</v>
      </c>
      <c r="F66" s="21" t="s">
        <v>625</v>
      </c>
      <c r="G66" s="21" t="s">
        <v>626</v>
      </c>
      <c r="H66" s="21" t="s">
        <v>364</v>
      </c>
      <c r="I66" s="21">
        <f>+LEN(Farmer!$H66)</f>
        <v>283</v>
      </c>
    </row>
    <row r="67" spans="1:9" ht="13.15">
      <c r="A67" s="21" t="s">
        <v>627</v>
      </c>
      <c r="B67" s="21" t="s">
        <v>628</v>
      </c>
      <c r="C67" s="21" t="s">
        <v>431</v>
      </c>
      <c r="D67" s="21" t="s">
        <v>368</v>
      </c>
      <c r="E67" s="21" t="s">
        <v>463</v>
      </c>
      <c r="F67" s="21" t="s">
        <v>625</v>
      </c>
      <c r="G67" s="21" t="s">
        <v>626</v>
      </c>
      <c r="H67" s="21" t="s">
        <v>364</v>
      </c>
      <c r="I67" s="21">
        <f>+LEN(Farmer!$H67)</f>
        <v>283</v>
      </c>
    </row>
    <row r="68" spans="1:9" ht="13.15">
      <c r="A68" s="21" t="s">
        <v>629</v>
      </c>
      <c r="B68" s="21" t="s">
        <v>389</v>
      </c>
      <c r="C68" s="21" t="s">
        <v>502</v>
      </c>
      <c r="D68" s="21" t="s">
        <v>368</v>
      </c>
      <c r="E68" s="21" t="s">
        <v>361</v>
      </c>
      <c r="F68" s="21" t="s">
        <v>398</v>
      </c>
      <c r="G68" s="21" t="s">
        <v>630</v>
      </c>
      <c r="H68" s="21" t="s">
        <v>364</v>
      </c>
      <c r="I68" s="21">
        <f>+LEN(Farmer!$H68)</f>
        <v>283</v>
      </c>
    </row>
    <row r="69" spans="1:9" ht="13.15">
      <c r="A69" s="21" t="s">
        <v>631</v>
      </c>
      <c r="B69" s="21" t="s">
        <v>573</v>
      </c>
      <c r="C69" s="21" t="s">
        <v>390</v>
      </c>
      <c r="D69" s="21" t="s">
        <v>555</v>
      </c>
      <c r="E69" s="21" t="s">
        <v>361</v>
      </c>
      <c r="F69" s="21" t="s">
        <v>392</v>
      </c>
      <c r="G69" s="21" t="s">
        <v>632</v>
      </c>
      <c r="H69" s="21" t="s">
        <v>364</v>
      </c>
      <c r="I69" s="21">
        <f>+LEN(Farmer!$H69)</f>
        <v>283</v>
      </c>
    </row>
    <row r="70" spans="1:9" ht="13.15">
      <c r="A70" s="21" t="s">
        <v>633</v>
      </c>
      <c r="B70" s="21" t="s">
        <v>634</v>
      </c>
      <c r="C70" s="21" t="s">
        <v>560</v>
      </c>
      <c r="D70" s="21" t="s">
        <v>411</v>
      </c>
      <c r="E70" s="21" t="s">
        <v>361</v>
      </c>
      <c r="F70" s="21" t="s">
        <v>635</v>
      </c>
      <c r="G70" s="21" t="s">
        <v>636</v>
      </c>
      <c r="H70" s="21" t="s">
        <v>364</v>
      </c>
      <c r="I70" s="21">
        <f>+LEN(Farmer!$H70)</f>
        <v>283</v>
      </c>
    </row>
    <row r="71" spans="1:9" ht="13.15">
      <c r="A71" s="21" t="s">
        <v>619</v>
      </c>
      <c r="B71" s="21" t="s">
        <v>620</v>
      </c>
      <c r="C71" s="21" t="s">
        <v>621</v>
      </c>
      <c r="D71" s="21" t="s">
        <v>622</v>
      </c>
      <c r="E71" s="21" t="s">
        <v>361</v>
      </c>
      <c r="F71" s="21" t="s">
        <v>488</v>
      </c>
      <c r="G71" s="21" t="s">
        <v>637</v>
      </c>
      <c r="H71" s="21" t="s">
        <v>364</v>
      </c>
      <c r="I71" s="21">
        <f>+LEN(Farmer!$H71)</f>
        <v>283</v>
      </c>
    </row>
    <row r="72" spans="1:9" ht="13.15">
      <c r="A72" s="21" t="s">
        <v>494</v>
      </c>
      <c r="B72" s="21" t="s">
        <v>495</v>
      </c>
      <c r="C72" s="21" t="s">
        <v>496</v>
      </c>
      <c r="D72" s="21" t="s">
        <v>497</v>
      </c>
      <c r="E72" s="21" t="s">
        <v>361</v>
      </c>
      <c r="F72" s="21" t="s">
        <v>498</v>
      </c>
      <c r="G72" s="21" t="s">
        <v>637</v>
      </c>
      <c r="H72" s="21" t="s">
        <v>364</v>
      </c>
      <c r="I72" s="21">
        <f>+LEN(Farmer!$H72)</f>
        <v>283</v>
      </c>
    </row>
    <row r="73" spans="1:9" ht="13.15">
      <c r="A73" s="21" t="s">
        <v>483</v>
      </c>
      <c r="B73" s="21" t="s">
        <v>484</v>
      </c>
      <c r="C73" s="21" t="s">
        <v>485</v>
      </c>
      <c r="D73" s="21" t="s">
        <v>486</v>
      </c>
      <c r="E73" s="21" t="s">
        <v>487</v>
      </c>
      <c r="F73" s="21" t="s">
        <v>488</v>
      </c>
      <c r="G73" s="21" t="s">
        <v>637</v>
      </c>
      <c r="H73" s="21" t="s">
        <v>364</v>
      </c>
      <c r="I73" s="21">
        <f>+LEN(Farmer!$H73)</f>
        <v>283</v>
      </c>
    </row>
    <row r="74" spans="1:9" ht="13.15">
      <c r="A74" s="21" t="s">
        <v>499</v>
      </c>
      <c r="B74" s="21" t="s">
        <v>500</v>
      </c>
      <c r="C74" s="21" t="s">
        <v>485</v>
      </c>
      <c r="D74" s="21" t="s">
        <v>486</v>
      </c>
      <c r="E74" s="21" t="s">
        <v>493</v>
      </c>
      <c r="F74" s="21" t="s">
        <v>488</v>
      </c>
      <c r="G74" s="21" t="s">
        <v>637</v>
      </c>
      <c r="H74" s="21" t="s">
        <v>364</v>
      </c>
      <c r="I74" s="21">
        <f>+LEN(Farmer!$H74)</f>
        <v>283</v>
      </c>
    </row>
    <row r="75" spans="1:9" ht="13.15">
      <c r="A75" s="21" t="s">
        <v>638</v>
      </c>
      <c r="B75" s="21" t="s">
        <v>541</v>
      </c>
      <c r="C75" s="21" t="s">
        <v>639</v>
      </c>
      <c r="D75" s="21" t="s">
        <v>416</v>
      </c>
      <c r="E75" s="21" t="s">
        <v>361</v>
      </c>
      <c r="F75" s="21" t="s">
        <v>488</v>
      </c>
      <c r="G75" s="21" t="s">
        <v>637</v>
      </c>
      <c r="H75" s="21" t="s">
        <v>364</v>
      </c>
      <c r="I75" s="21">
        <f>+LEN(Farmer!$H75)</f>
        <v>283</v>
      </c>
    </row>
    <row r="76" spans="1:9" ht="13.15">
      <c r="A76" s="21" t="s">
        <v>640</v>
      </c>
      <c r="B76" s="21" t="s">
        <v>425</v>
      </c>
      <c r="C76" s="21" t="s">
        <v>641</v>
      </c>
      <c r="D76" s="21" t="s">
        <v>416</v>
      </c>
      <c r="E76" s="21" t="s">
        <v>361</v>
      </c>
      <c r="F76" s="21" t="s">
        <v>498</v>
      </c>
      <c r="G76" s="21" t="s">
        <v>637</v>
      </c>
      <c r="H76" s="21" t="s">
        <v>364</v>
      </c>
      <c r="I76" s="21">
        <f>+LEN(Farmer!$H76)</f>
        <v>283</v>
      </c>
    </row>
    <row r="77" spans="1:9" ht="14.45">
      <c r="A77" s="38" t="s">
        <v>642</v>
      </c>
      <c r="B77" s="21" t="s">
        <v>643</v>
      </c>
      <c r="C77" s="21" t="s">
        <v>644</v>
      </c>
      <c r="D77" s="21" t="s">
        <v>645</v>
      </c>
      <c r="E77" s="21" t="s">
        <v>361</v>
      </c>
      <c r="F77" s="21" t="s">
        <v>524</v>
      </c>
      <c r="G77" s="21" t="s">
        <v>637</v>
      </c>
      <c r="H77" s="21" t="s">
        <v>364</v>
      </c>
      <c r="I77" s="21">
        <f>+LEN(Farmer!$H77)</f>
        <v>283</v>
      </c>
    </row>
    <row r="78" spans="1:9" ht="13.15">
      <c r="A78" s="21" t="s">
        <v>646</v>
      </c>
      <c r="B78" s="21" t="s">
        <v>643</v>
      </c>
      <c r="C78" s="21" t="s">
        <v>644</v>
      </c>
      <c r="D78" s="21" t="s">
        <v>645</v>
      </c>
      <c r="E78" s="21" t="s">
        <v>361</v>
      </c>
      <c r="F78" s="21" t="s">
        <v>524</v>
      </c>
      <c r="G78" s="21" t="s">
        <v>637</v>
      </c>
      <c r="H78" s="21" t="s">
        <v>364</v>
      </c>
      <c r="I78" s="21">
        <f>+LEN(Farmer!$H78)</f>
        <v>283</v>
      </c>
    </row>
    <row r="79" spans="1:9" ht="13.15">
      <c r="A79" s="21" t="s">
        <v>647</v>
      </c>
      <c r="B79" s="21" t="s">
        <v>425</v>
      </c>
      <c r="C79" s="21" t="s">
        <v>639</v>
      </c>
      <c r="D79" s="21" t="s">
        <v>411</v>
      </c>
      <c r="E79" s="21" t="s">
        <v>361</v>
      </c>
      <c r="F79" s="21" t="s">
        <v>488</v>
      </c>
      <c r="G79" s="21" t="s">
        <v>637</v>
      </c>
      <c r="H79" s="21" t="s">
        <v>364</v>
      </c>
      <c r="I79" s="21">
        <f>+LEN(Farmer!$H79)</f>
        <v>283</v>
      </c>
    </row>
    <row r="80" spans="1:9" ht="13.15">
      <c r="A80" s="21" t="s">
        <v>648</v>
      </c>
      <c r="B80" s="21" t="s">
        <v>649</v>
      </c>
      <c r="C80" s="21" t="s">
        <v>650</v>
      </c>
      <c r="D80" s="21" t="s">
        <v>651</v>
      </c>
      <c r="E80" s="21" t="s">
        <v>361</v>
      </c>
      <c r="F80" s="21" t="s">
        <v>561</v>
      </c>
      <c r="G80" s="21" t="s">
        <v>652</v>
      </c>
      <c r="H80" s="21" t="s">
        <v>364</v>
      </c>
      <c r="I80" s="21">
        <f>+LEN(Farmer!$H80)</f>
        <v>283</v>
      </c>
    </row>
    <row r="81" spans="1:9" ht="13.15">
      <c r="A81" s="21" t="s">
        <v>653</v>
      </c>
      <c r="B81" s="21" t="s">
        <v>654</v>
      </c>
      <c r="C81" s="21" t="s">
        <v>655</v>
      </c>
      <c r="D81" s="21" t="s">
        <v>656</v>
      </c>
      <c r="E81" s="21" t="s">
        <v>361</v>
      </c>
      <c r="F81" s="21" t="s">
        <v>561</v>
      </c>
      <c r="G81" s="21" t="s">
        <v>652</v>
      </c>
      <c r="H81" s="21" t="s">
        <v>364</v>
      </c>
      <c r="I81" s="21">
        <f>+LEN(Farmer!$H81)</f>
        <v>283</v>
      </c>
    </row>
    <row r="82" spans="1:9" ht="13.15">
      <c r="A82" s="21" t="s">
        <v>466</v>
      </c>
      <c r="B82" s="21" t="s">
        <v>435</v>
      </c>
      <c r="C82" s="21" t="s">
        <v>650</v>
      </c>
      <c r="D82" s="21" t="s">
        <v>657</v>
      </c>
      <c r="E82" s="21" t="s">
        <v>361</v>
      </c>
      <c r="F82" s="21" t="s">
        <v>561</v>
      </c>
      <c r="G82" s="21" t="s">
        <v>652</v>
      </c>
      <c r="H82" s="21" t="s">
        <v>364</v>
      </c>
      <c r="I82" s="21">
        <f>+LEN(Farmer!$H82)</f>
        <v>283</v>
      </c>
    </row>
    <row r="83" spans="1:9" ht="14.45">
      <c r="A83" s="38" t="s">
        <v>658</v>
      </c>
      <c r="B83" s="21" t="s">
        <v>659</v>
      </c>
      <c r="C83" s="21" t="s">
        <v>644</v>
      </c>
      <c r="D83" s="21" t="s">
        <v>660</v>
      </c>
      <c r="E83" s="21" t="s">
        <v>361</v>
      </c>
      <c r="F83" s="21" t="s">
        <v>661</v>
      </c>
      <c r="G83" s="21" t="s">
        <v>652</v>
      </c>
      <c r="H83" s="21" t="s">
        <v>364</v>
      </c>
      <c r="I83" s="21">
        <f>+LEN(Farmer!$H83)</f>
        <v>283</v>
      </c>
    </row>
    <row r="84" spans="1:9" ht="13.15">
      <c r="A84" s="21" t="s">
        <v>662</v>
      </c>
      <c r="B84" s="21" t="s">
        <v>663</v>
      </c>
      <c r="C84" s="21" t="s">
        <v>664</v>
      </c>
      <c r="D84" s="21" t="s">
        <v>385</v>
      </c>
      <c r="E84" s="21" t="s">
        <v>361</v>
      </c>
      <c r="F84" s="21" t="s">
        <v>381</v>
      </c>
      <c r="G84" s="21" t="s">
        <v>665</v>
      </c>
      <c r="H84" s="21" t="s">
        <v>364</v>
      </c>
      <c r="I84" s="21">
        <f>+LEN(Farmer!$H84)</f>
        <v>283</v>
      </c>
    </row>
    <row r="85" spans="1:9" ht="13.15">
      <c r="A85" s="21" t="s">
        <v>666</v>
      </c>
      <c r="B85" s="21" t="s">
        <v>667</v>
      </c>
      <c r="C85" s="21" t="s">
        <v>549</v>
      </c>
      <c r="D85" s="21" t="s">
        <v>368</v>
      </c>
      <c r="E85" s="21" t="s">
        <v>463</v>
      </c>
      <c r="F85" s="21" t="s">
        <v>392</v>
      </c>
      <c r="G85" s="21" t="s">
        <v>668</v>
      </c>
      <c r="H85" s="21" t="s">
        <v>364</v>
      </c>
      <c r="I85" s="21">
        <f>+LEN(Farmer!$H85)</f>
        <v>283</v>
      </c>
    </row>
    <row r="86" spans="1:9" ht="13.15">
      <c r="A86" s="21" t="s">
        <v>669</v>
      </c>
      <c r="B86" s="21" t="s">
        <v>611</v>
      </c>
      <c r="C86" s="21" t="s">
        <v>502</v>
      </c>
      <c r="D86" s="21" t="s">
        <v>368</v>
      </c>
      <c r="E86" s="21" t="s">
        <v>361</v>
      </c>
      <c r="F86" s="21" t="s">
        <v>670</v>
      </c>
      <c r="G86" s="21" t="s">
        <v>671</v>
      </c>
      <c r="H86" s="21" t="s">
        <v>364</v>
      </c>
      <c r="I86" s="21">
        <f>+LEN(Farmer!$H86)</f>
        <v>283</v>
      </c>
    </row>
    <row r="87" spans="1:9" ht="13.15">
      <c r="A87" s="21" t="s">
        <v>672</v>
      </c>
      <c r="B87" s="21" t="s">
        <v>634</v>
      </c>
      <c r="C87" s="21" t="s">
        <v>446</v>
      </c>
      <c r="D87" s="21" t="s">
        <v>447</v>
      </c>
      <c r="E87" s="21" t="s">
        <v>361</v>
      </c>
      <c r="F87" s="21" t="s">
        <v>386</v>
      </c>
      <c r="G87" s="21" t="s">
        <v>673</v>
      </c>
      <c r="H87" s="21" t="s">
        <v>364</v>
      </c>
      <c r="I87" s="21">
        <f>+LEN(Farmer!$H87)</f>
        <v>283</v>
      </c>
    </row>
    <row r="88" spans="1:9" ht="13.15">
      <c r="A88" s="21" t="s">
        <v>674</v>
      </c>
      <c r="B88" s="21" t="s">
        <v>401</v>
      </c>
      <c r="C88" s="21" t="s">
        <v>431</v>
      </c>
      <c r="D88" s="21" t="s">
        <v>675</v>
      </c>
      <c r="E88" s="21" t="s">
        <v>676</v>
      </c>
      <c r="F88" s="21" t="s">
        <v>677</v>
      </c>
      <c r="G88" s="21" t="s">
        <v>678</v>
      </c>
      <c r="H88" s="21" t="s">
        <v>364</v>
      </c>
      <c r="I88" s="21">
        <f>+LEN(Farmer!$H88)</f>
        <v>283</v>
      </c>
    </row>
    <row r="89" spans="1:9" ht="13.15">
      <c r="A89" s="21" t="s">
        <v>30</v>
      </c>
      <c r="B89" s="21" t="s">
        <v>679</v>
      </c>
      <c r="C89" s="21" t="s">
        <v>502</v>
      </c>
      <c r="D89" s="21" t="s">
        <v>680</v>
      </c>
      <c r="E89" s="21" t="s">
        <v>361</v>
      </c>
      <c r="F89" s="21" t="s">
        <v>469</v>
      </c>
      <c r="G89" s="21" t="s">
        <v>681</v>
      </c>
      <c r="H89" s="21" t="s">
        <v>364</v>
      </c>
      <c r="I89" s="21">
        <f>+LEN(Farmer!$H89)</f>
        <v>283</v>
      </c>
    </row>
    <row r="90" spans="1:9" ht="13.15">
      <c r="A90" s="21" t="s">
        <v>529</v>
      </c>
      <c r="B90" s="21" t="s">
        <v>409</v>
      </c>
      <c r="C90" s="21" t="s">
        <v>446</v>
      </c>
      <c r="D90" s="21" t="s">
        <v>566</v>
      </c>
      <c r="E90" s="21" t="s">
        <v>361</v>
      </c>
      <c r="F90" s="21" t="s">
        <v>498</v>
      </c>
      <c r="G90" s="21" t="s">
        <v>682</v>
      </c>
      <c r="H90" s="21" t="s">
        <v>364</v>
      </c>
      <c r="I90" s="21">
        <f>+LEN(Farmer!$H90)</f>
        <v>283</v>
      </c>
    </row>
    <row r="91" spans="1:9" ht="13.15">
      <c r="A91" s="21" t="s">
        <v>683</v>
      </c>
      <c r="B91" s="21" t="s">
        <v>476</v>
      </c>
      <c r="C91" s="21" t="s">
        <v>560</v>
      </c>
      <c r="D91" s="21" t="s">
        <v>411</v>
      </c>
      <c r="E91" s="21" t="s">
        <v>361</v>
      </c>
      <c r="F91" s="21" t="s">
        <v>381</v>
      </c>
      <c r="G91" s="21" t="s">
        <v>684</v>
      </c>
      <c r="H91" s="21" t="s">
        <v>364</v>
      </c>
      <c r="I91" s="21">
        <f>+LEN(Farmer!$H91)</f>
        <v>283</v>
      </c>
    </row>
    <row r="92" spans="1:9" ht="13.15">
      <c r="A92" s="21" t="s">
        <v>683</v>
      </c>
      <c r="B92" s="21" t="s">
        <v>685</v>
      </c>
      <c r="C92" s="37" t="s">
        <v>686</v>
      </c>
      <c r="D92" s="21" t="s">
        <v>517</v>
      </c>
      <c r="E92" s="21" t="s">
        <v>361</v>
      </c>
      <c r="F92" s="21" t="s">
        <v>381</v>
      </c>
      <c r="G92" s="21" t="s">
        <v>684</v>
      </c>
      <c r="H92" s="21" t="s">
        <v>364</v>
      </c>
      <c r="I92" s="21">
        <f>+LEN(Farmer!$H92)</f>
        <v>283</v>
      </c>
    </row>
    <row r="93" spans="1:9" ht="13.15">
      <c r="A93" s="21" t="s">
        <v>687</v>
      </c>
      <c r="B93" s="21" t="s">
        <v>688</v>
      </c>
      <c r="C93" s="21" t="s">
        <v>396</v>
      </c>
      <c r="D93" s="21" t="s">
        <v>546</v>
      </c>
      <c r="E93" s="21" t="s">
        <v>361</v>
      </c>
      <c r="F93" s="21" t="s">
        <v>689</v>
      </c>
      <c r="G93" s="21" t="s">
        <v>690</v>
      </c>
      <c r="H93" s="21" t="s">
        <v>364</v>
      </c>
      <c r="I93" s="21">
        <f>+LEN(Farmer!$H93)</f>
        <v>283</v>
      </c>
    </row>
    <row r="94" spans="1:9" ht="13.15">
      <c r="A94" s="21" t="s">
        <v>691</v>
      </c>
      <c r="B94" s="21" t="s">
        <v>692</v>
      </c>
      <c r="C94" s="21" t="s">
        <v>693</v>
      </c>
      <c r="D94" s="21" t="s">
        <v>380</v>
      </c>
      <c r="E94" s="21" t="s">
        <v>361</v>
      </c>
      <c r="F94" s="21" t="s">
        <v>381</v>
      </c>
      <c r="G94" s="21" t="s">
        <v>694</v>
      </c>
      <c r="H94" s="21" t="s">
        <v>364</v>
      </c>
      <c r="I94" s="21">
        <f>+LEN(Farmer!$H94)</f>
        <v>283</v>
      </c>
    </row>
    <row r="95" spans="1:9" ht="13.15">
      <c r="A95" s="21" t="s">
        <v>695</v>
      </c>
      <c r="B95" s="21" t="s">
        <v>366</v>
      </c>
      <c r="C95" s="21" t="s">
        <v>696</v>
      </c>
      <c r="D95" s="21" t="s">
        <v>697</v>
      </c>
      <c r="E95" s="21" t="s">
        <v>361</v>
      </c>
      <c r="F95" s="21" t="s">
        <v>392</v>
      </c>
      <c r="G95" s="21" t="s">
        <v>698</v>
      </c>
      <c r="H95" s="21" t="s">
        <v>364</v>
      </c>
      <c r="I95" s="21">
        <f>+LEN(Farmer!$H95)</f>
        <v>283</v>
      </c>
    </row>
    <row r="96" spans="1:9" ht="13.15">
      <c r="A96" s="21"/>
      <c r="B96" s="21" t="s">
        <v>699</v>
      </c>
      <c r="C96" s="21" t="s">
        <v>576</v>
      </c>
      <c r="D96" s="21" t="s">
        <v>380</v>
      </c>
      <c r="E96" s="21" t="s">
        <v>361</v>
      </c>
      <c r="F96" s="21" t="s">
        <v>700</v>
      </c>
      <c r="G96" s="21" t="s">
        <v>701</v>
      </c>
      <c r="H96" s="21" t="s">
        <v>364</v>
      </c>
      <c r="I96" s="21">
        <f>+LEN(Farmer!$H96)</f>
        <v>283</v>
      </c>
    </row>
    <row r="97" spans="1:9" ht="13.15">
      <c r="A97" s="21" t="s">
        <v>564</v>
      </c>
      <c r="B97" s="21" t="s">
        <v>702</v>
      </c>
      <c r="C97" s="21" t="s">
        <v>576</v>
      </c>
      <c r="D97" s="21" t="s">
        <v>380</v>
      </c>
      <c r="E97" s="21" t="s">
        <v>361</v>
      </c>
      <c r="F97" s="21" t="s">
        <v>581</v>
      </c>
      <c r="G97" s="21" t="s">
        <v>703</v>
      </c>
      <c r="H97" s="21" t="s">
        <v>364</v>
      </c>
      <c r="I97" s="21">
        <f>+LEN(Farmer!$H97)</f>
        <v>283</v>
      </c>
    </row>
    <row r="98" spans="1:9" ht="14.45">
      <c r="A98" s="38" t="s">
        <v>704</v>
      </c>
      <c r="B98" s="21" t="s">
        <v>358</v>
      </c>
      <c r="C98" s="21" t="s">
        <v>705</v>
      </c>
      <c r="D98" s="21" t="s">
        <v>645</v>
      </c>
      <c r="E98" s="21" t="s">
        <v>361</v>
      </c>
      <c r="F98" s="21" t="s">
        <v>706</v>
      </c>
      <c r="G98" s="21" t="s">
        <v>707</v>
      </c>
      <c r="H98" s="21" t="s">
        <v>364</v>
      </c>
      <c r="I98" s="21">
        <f>+LEN(Farmer!$H98)</f>
        <v>283</v>
      </c>
    </row>
    <row r="99" spans="1:9" ht="14.45">
      <c r="A99" s="38" t="s">
        <v>708</v>
      </c>
      <c r="B99" s="21" t="s">
        <v>709</v>
      </c>
      <c r="C99" s="21" t="s">
        <v>705</v>
      </c>
      <c r="D99" s="21" t="s">
        <v>645</v>
      </c>
      <c r="E99" s="21" t="s">
        <v>361</v>
      </c>
      <c r="F99" s="21" t="s">
        <v>706</v>
      </c>
      <c r="G99" s="21" t="s">
        <v>707</v>
      </c>
      <c r="H99" s="21" t="s">
        <v>364</v>
      </c>
      <c r="I99" s="21">
        <f>+LEN(Farmer!$H99)</f>
        <v>283</v>
      </c>
    </row>
    <row r="100" spans="1:9" ht="13.15">
      <c r="A100" s="21" t="s">
        <v>710</v>
      </c>
      <c r="B100" s="21" t="s">
        <v>711</v>
      </c>
      <c r="C100" s="21" t="s">
        <v>512</v>
      </c>
      <c r="D100" s="21" t="s">
        <v>712</v>
      </c>
      <c r="E100" s="21" t="s">
        <v>361</v>
      </c>
      <c r="F100" s="21" t="s">
        <v>670</v>
      </c>
      <c r="G100" s="21" t="s">
        <v>713</v>
      </c>
      <c r="H100" s="21" t="s">
        <v>364</v>
      </c>
      <c r="I100" s="21">
        <f>+LEN(Farmer!$H100)</f>
        <v>283</v>
      </c>
    </row>
    <row r="101" spans="1:9" ht="13.15">
      <c r="A101" s="21" t="s">
        <v>714</v>
      </c>
      <c r="B101" s="21" t="s">
        <v>715</v>
      </c>
      <c r="C101" s="21" t="s">
        <v>624</v>
      </c>
      <c r="D101" s="21" t="s">
        <v>402</v>
      </c>
      <c r="E101" s="21" t="s">
        <v>361</v>
      </c>
      <c r="F101" s="21" t="s">
        <v>403</v>
      </c>
      <c r="G101" s="21" t="s">
        <v>716</v>
      </c>
      <c r="H101" s="21" t="s">
        <v>364</v>
      </c>
      <c r="I101" s="21">
        <f>+LEN(Farmer!$H101)</f>
        <v>283</v>
      </c>
    </row>
    <row r="102" spans="1:9" ht="13.15">
      <c r="A102" s="21" t="s">
        <v>717</v>
      </c>
      <c r="B102" s="21" t="s">
        <v>366</v>
      </c>
      <c r="C102" s="21" t="s">
        <v>512</v>
      </c>
      <c r="D102" s="21" t="s">
        <v>411</v>
      </c>
      <c r="E102" s="21" t="s">
        <v>361</v>
      </c>
      <c r="F102" s="21" t="s">
        <v>506</v>
      </c>
      <c r="G102" s="21" t="s">
        <v>718</v>
      </c>
      <c r="H102" s="21" t="s">
        <v>364</v>
      </c>
      <c r="I102" s="21">
        <f>+LEN(Farmer!$H102)</f>
        <v>283</v>
      </c>
    </row>
    <row r="103" spans="1:9" ht="13.15">
      <c r="A103" s="21" t="s">
        <v>719</v>
      </c>
      <c r="B103" s="21" t="s">
        <v>366</v>
      </c>
      <c r="C103" s="21" t="s">
        <v>415</v>
      </c>
      <c r="D103" s="21" t="s">
        <v>416</v>
      </c>
      <c r="E103" s="21" t="s">
        <v>361</v>
      </c>
      <c r="F103" s="21" t="s">
        <v>386</v>
      </c>
      <c r="G103" s="21" t="s">
        <v>720</v>
      </c>
      <c r="H103" s="21" t="s">
        <v>364</v>
      </c>
      <c r="I103" s="21">
        <f>+LEN(Farmer!$H103)</f>
        <v>283</v>
      </c>
    </row>
    <row r="104" spans="1:9" ht="13.15">
      <c r="A104" s="21" t="s">
        <v>721</v>
      </c>
      <c r="B104" s="21" t="s">
        <v>722</v>
      </c>
      <c r="C104" s="21" t="s">
        <v>431</v>
      </c>
      <c r="D104" s="21" t="s">
        <v>368</v>
      </c>
      <c r="E104" s="21" t="s">
        <v>361</v>
      </c>
      <c r="F104" s="21" t="s">
        <v>398</v>
      </c>
      <c r="G104" s="21" t="s">
        <v>723</v>
      </c>
      <c r="H104" s="21" t="s">
        <v>364</v>
      </c>
      <c r="I104" s="21">
        <f>+LEN(Farmer!$H104)</f>
        <v>283</v>
      </c>
    </row>
    <row r="105" spans="1:9" ht="14.45">
      <c r="A105" s="38" t="s">
        <v>724</v>
      </c>
      <c r="B105" s="21" t="s">
        <v>725</v>
      </c>
      <c r="C105" s="21" t="s">
        <v>726</v>
      </c>
      <c r="D105" s="21" t="s">
        <v>727</v>
      </c>
      <c r="E105" s="21" t="s">
        <v>361</v>
      </c>
      <c r="F105" s="21" t="s">
        <v>406</v>
      </c>
      <c r="G105" s="21" t="s">
        <v>728</v>
      </c>
      <c r="H105" s="21" t="s">
        <v>364</v>
      </c>
      <c r="I105" s="21">
        <f>+LEN(Farmer!$H105)</f>
        <v>283</v>
      </c>
    </row>
    <row r="106" spans="1:9" ht="13.15">
      <c r="A106" s="21" t="s">
        <v>729</v>
      </c>
      <c r="B106" s="21" t="s">
        <v>409</v>
      </c>
      <c r="C106" s="21" t="s">
        <v>730</v>
      </c>
      <c r="D106" s="21" t="s">
        <v>731</v>
      </c>
      <c r="E106" s="21" t="s">
        <v>361</v>
      </c>
      <c r="F106" s="21" t="s">
        <v>398</v>
      </c>
      <c r="G106" s="21" t="s">
        <v>732</v>
      </c>
      <c r="H106" s="21" t="s">
        <v>364</v>
      </c>
      <c r="I106" s="21">
        <f>+LEN(Farmer!$H106)</f>
        <v>283</v>
      </c>
    </row>
    <row r="107" spans="1:9" ht="13.15">
      <c r="A107" s="21" t="s">
        <v>733</v>
      </c>
      <c r="B107" s="21" t="s">
        <v>715</v>
      </c>
      <c r="C107" s="21" t="s">
        <v>379</v>
      </c>
      <c r="D107" s="21" t="s">
        <v>509</v>
      </c>
      <c r="E107" s="21" t="s">
        <v>463</v>
      </c>
      <c r="F107" s="21" t="s">
        <v>392</v>
      </c>
      <c r="G107" s="21" t="s">
        <v>734</v>
      </c>
      <c r="H107" s="21" t="s">
        <v>364</v>
      </c>
      <c r="I107" s="21">
        <f>+LEN(Farmer!$H107)</f>
        <v>283</v>
      </c>
    </row>
    <row r="108" spans="1:9" ht="13.15">
      <c r="A108" s="21" t="s">
        <v>735</v>
      </c>
      <c r="B108" s="21" t="s">
        <v>450</v>
      </c>
      <c r="C108" s="21" t="s">
        <v>431</v>
      </c>
      <c r="D108" s="21" t="s">
        <v>736</v>
      </c>
      <c r="E108" s="21" t="s">
        <v>361</v>
      </c>
      <c r="F108" s="21" t="s">
        <v>398</v>
      </c>
      <c r="G108" s="21" t="s">
        <v>737</v>
      </c>
      <c r="H108" s="21" t="s">
        <v>364</v>
      </c>
      <c r="I108" s="21">
        <f>+LEN(Farmer!$H108)</f>
        <v>283</v>
      </c>
    </row>
    <row r="109" spans="1:9" ht="13.15">
      <c r="A109" s="21" t="s">
        <v>735</v>
      </c>
      <c r="B109" s="21" t="s">
        <v>738</v>
      </c>
      <c r="C109" s="21" t="s">
        <v>696</v>
      </c>
      <c r="D109" s="21" t="s">
        <v>739</v>
      </c>
      <c r="E109" s="21" t="s">
        <v>361</v>
      </c>
      <c r="F109" s="21" t="s">
        <v>398</v>
      </c>
      <c r="G109" s="21" t="s">
        <v>740</v>
      </c>
      <c r="H109" s="21" t="s">
        <v>364</v>
      </c>
      <c r="I109" s="21">
        <f>+LEN(Farmer!$H109)</f>
        <v>283</v>
      </c>
    </row>
    <row r="110" spans="1:9" ht="13.15">
      <c r="A110" s="21" t="s">
        <v>741</v>
      </c>
      <c r="B110" s="21" t="s">
        <v>742</v>
      </c>
      <c r="C110" s="21" t="s">
        <v>446</v>
      </c>
      <c r="D110" s="21" t="s">
        <v>447</v>
      </c>
      <c r="E110" s="21" t="s">
        <v>361</v>
      </c>
      <c r="F110" s="21" t="s">
        <v>386</v>
      </c>
      <c r="G110" s="21" t="s">
        <v>743</v>
      </c>
      <c r="H110" s="21" t="s">
        <v>364</v>
      </c>
      <c r="I110" s="21">
        <f>+LEN(Farmer!$H110)</f>
        <v>283</v>
      </c>
    </row>
    <row r="111" spans="1:9" ht="13.15">
      <c r="A111" s="21" t="s">
        <v>744</v>
      </c>
      <c r="B111" s="21" t="s">
        <v>745</v>
      </c>
      <c r="C111" s="21" t="s">
        <v>621</v>
      </c>
      <c r="D111" s="21" t="s">
        <v>368</v>
      </c>
      <c r="E111" s="21" t="s">
        <v>361</v>
      </c>
      <c r="F111" s="21" t="s">
        <v>746</v>
      </c>
      <c r="G111" s="21" t="s">
        <v>747</v>
      </c>
      <c r="H111" s="21" t="s">
        <v>364</v>
      </c>
      <c r="I111" s="21">
        <f>+LEN(Farmer!$H111)</f>
        <v>283</v>
      </c>
    </row>
    <row r="112" spans="1:9" ht="14.45">
      <c r="A112" s="38" t="s">
        <v>748</v>
      </c>
      <c r="B112" s="21" t="s">
        <v>749</v>
      </c>
      <c r="C112" s="21" t="s">
        <v>750</v>
      </c>
      <c r="D112" s="21" t="s">
        <v>751</v>
      </c>
      <c r="E112" s="21" t="s">
        <v>361</v>
      </c>
      <c r="F112" s="21" t="s">
        <v>706</v>
      </c>
      <c r="G112" s="21" t="s">
        <v>752</v>
      </c>
      <c r="H112" s="21" t="s">
        <v>364</v>
      </c>
      <c r="I112" s="21">
        <f>+LEN(Farmer!$H112)</f>
        <v>283</v>
      </c>
    </row>
    <row r="113" spans="1:9" ht="14.45">
      <c r="A113" s="38" t="s">
        <v>460</v>
      </c>
      <c r="B113" s="21" t="s">
        <v>753</v>
      </c>
      <c r="C113" s="21" t="s">
        <v>754</v>
      </c>
      <c r="D113" s="21" t="s">
        <v>755</v>
      </c>
      <c r="E113" s="21" t="s">
        <v>361</v>
      </c>
      <c r="F113" s="21" t="s">
        <v>706</v>
      </c>
      <c r="G113" s="21" t="s">
        <v>752</v>
      </c>
      <c r="H113" s="21" t="s">
        <v>364</v>
      </c>
      <c r="I113" s="21">
        <f>+LEN(Farmer!$H113)</f>
        <v>283</v>
      </c>
    </row>
    <row r="114" spans="1:9" ht="13.15">
      <c r="A114" s="21" t="s">
        <v>756</v>
      </c>
      <c r="B114" s="21" t="s">
        <v>565</v>
      </c>
      <c r="C114" s="21" t="s">
        <v>560</v>
      </c>
      <c r="D114" s="21" t="s">
        <v>566</v>
      </c>
      <c r="E114" s="21" t="s">
        <v>361</v>
      </c>
      <c r="F114" s="21" t="s">
        <v>567</v>
      </c>
      <c r="G114" s="21" t="s">
        <v>757</v>
      </c>
      <c r="H114" s="21" t="s">
        <v>364</v>
      </c>
      <c r="I114" s="21">
        <f>+LEN(Farmer!$H114)</f>
        <v>283</v>
      </c>
    </row>
    <row r="115" spans="1:9" ht="13.15">
      <c r="A115" s="21" t="s">
        <v>638</v>
      </c>
      <c r="B115" s="21" t="s">
        <v>541</v>
      </c>
      <c r="C115" s="21" t="s">
        <v>639</v>
      </c>
      <c r="D115" s="21" t="s">
        <v>416</v>
      </c>
      <c r="E115" s="21" t="s">
        <v>361</v>
      </c>
      <c r="F115" s="21" t="s">
        <v>488</v>
      </c>
      <c r="G115" s="21" t="s">
        <v>758</v>
      </c>
      <c r="H115" s="21" t="s">
        <v>364</v>
      </c>
      <c r="I115" s="21">
        <f>+LEN(Farmer!$H115)</f>
        <v>283</v>
      </c>
    </row>
    <row r="116" spans="1:9" ht="13.15">
      <c r="A116" s="43" t="s">
        <v>640</v>
      </c>
      <c r="B116" s="43" t="s">
        <v>425</v>
      </c>
      <c r="C116" s="43" t="s">
        <v>641</v>
      </c>
      <c r="D116" s="43" t="s">
        <v>416</v>
      </c>
      <c r="E116" s="43" t="s">
        <v>361</v>
      </c>
      <c r="F116" s="43" t="s">
        <v>498</v>
      </c>
      <c r="G116" s="21" t="s">
        <v>758</v>
      </c>
      <c r="H116" s="21" t="s">
        <v>364</v>
      </c>
      <c r="I116" s="21">
        <f>+LEN(Farmer!$H116)</f>
        <v>283</v>
      </c>
    </row>
    <row r="117" spans="1:9" ht="13.15">
      <c r="A117" s="21" t="s">
        <v>646</v>
      </c>
      <c r="B117" s="21" t="s">
        <v>759</v>
      </c>
      <c r="C117" s="21" t="s">
        <v>485</v>
      </c>
      <c r="D117" s="21" t="s">
        <v>486</v>
      </c>
      <c r="E117" s="21" t="s">
        <v>487</v>
      </c>
      <c r="F117" s="21" t="s">
        <v>488</v>
      </c>
      <c r="G117" s="21" t="s">
        <v>758</v>
      </c>
      <c r="H117" s="21" t="s">
        <v>364</v>
      </c>
      <c r="I117" s="21">
        <f>+LEN(Farmer!$H117)</f>
        <v>283</v>
      </c>
    </row>
    <row r="118" spans="1:9" ht="13.15">
      <c r="A118" s="21" t="s">
        <v>760</v>
      </c>
      <c r="B118" s="21" t="s">
        <v>409</v>
      </c>
      <c r="C118" s="21" t="s">
        <v>761</v>
      </c>
      <c r="D118" s="21" t="s">
        <v>762</v>
      </c>
      <c r="E118" s="21" t="s">
        <v>361</v>
      </c>
      <c r="F118" s="21" t="s">
        <v>392</v>
      </c>
      <c r="G118" s="21" t="s">
        <v>763</v>
      </c>
      <c r="H118" s="21" t="s">
        <v>364</v>
      </c>
      <c r="I118" s="21">
        <f>+LEN(Farmer!$H118)</f>
        <v>283</v>
      </c>
    </row>
    <row r="119" spans="1:9" ht="13.15">
      <c r="A119" s="21" t="s">
        <v>764</v>
      </c>
      <c r="B119" s="21" t="s">
        <v>425</v>
      </c>
      <c r="C119" s="21" t="s">
        <v>765</v>
      </c>
      <c r="D119" s="21" t="s">
        <v>766</v>
      </c>
      <c r="E119" s="21" t="s">
        <v>487</v>
      </c>
      <c r="F119" s="21"/>
      <c r="G119" s="21" t="s">
        <v>767</v>
      </c>
      <c r="H119" s="21" t="s">
        <v>364</v>
      </c>
      <c r="I119" s="21">
        <f>+LEN(Farmer!$H119)</f>
        <v>283</v>
      </c>
    </row>
    <row r="120" spans="1:9" ht="13.15">
      <c r="A120" s="21" t="s">
        <v>768</v>
      </c>
      <c r="B120" s="21" t="s">
        <v>769</v>
      </c>
      <c r="C120" s="21" t="s">
        <v>576</v>
      </c>
      <c r="D120" s="21" t="s">
        <v>509</v>
      </c>
      <c r="E120" s="21" t="s">
        <v>463</v>
      </c>
      <c r="F120" s="21"/>
      <c r="G120" s="21" t="s">
        <v>770</v>
      </c>
      <c r="H120" s="21" t="s">
        <v>364</v>
      </c>
      <c r="I120" s="21">
        <f>+LEN(Farmer!$H120)</f>
        <v>283</v>
      </c>
    </row>
    <row r="121" spans="1:9" ht="13.15">
      <c r="A121" s="21" t="s">
        <v>771</v>
      </c>
      <c r="B121" s="21" t="s">
        <v>505</v>
      </c>
      <c r="C121" s="21" t="s">
        <v>639</v>
      </c>
      <c r="D121" s="21" t="s">
        <v>416</v>
      </c>
      <c r="E121" s="21" t="s">
        <v>361</v>
      </c>
      <c r="F121" s="21" t="s">
        <v>488</v>
      </c>
      <c r="G121" s="21" t="s">
        <v>772</v>
      </c>
      <c r="H121" s="21" t="s">
        <v>364</v>
      </c>
      <c r="I121" s="21">
        <f>+LEN(Farmer!$H121)</f>
        <v>283</v>
      </c>
    </row>
    <row r="122" spans="1:9" ht="13.15">
      <c r="A122" s="21" t="s">
        <v>773</v>
      </c>
      <c r="B122" s="21" t="s">
        <v>774</v>
      </c>
      <c r="C122" s="21" t="s">
        <v>639</v>
      </c>
      <c r="D122" s="21" t="s">
        <v>416</v>
      </c>
      <c r="E122" s="21" t="s">
        <v>361</v>
      </c>
      <c r="F122" s="21" t="s">
        <v>488</v>
      </c>
      <c r="G122" s="21" t="s">
        <v>772</v>
      </c>
      <c r="H122" s="21"/>
      <c r="I122" s="21"/>
    </row>
    <row r="123" spans="1:9" ht="13.15">
      <c r="A123" s="21" t="s">
        <v>775</v>
      </c>
      <c r="B123" s="21" t="s">
        <v>366</v>
      </c>
      <c r="C123" s="21" t="s">
        <v>516</v>
      </c>
      <c r="D123" s="21" t="s">
        <v>368</v>
      </c>
      <c r="E123" s="21" t="s">
        <v>361</v>
      </c>
      <c r="F123" s="21" t="s">
        <v>381</v>
      </c>
      <c r="G123" s="21" t="s">
        <v>776</v>
      </c>
      <c r="H123" s="21" t="s">
        <v>364</v>
      </c>
      <c r="I123" s="21">
        <f>+LEN(Farmer!$H123)</f>
        <v>283</v>
      </c>
    </row>
    <row r="124" spans="1:9" ht="13.15">
      <c r="A124" s="21" t="s">
        <v>777</v>
      </c>
      <c r="B124" s="21" t="s">
        <v>663</v>
      </c>
      <c r="C124" s="21" t="s">
        <v>686</v>
      </c>
      <c r="D124" s="21" t="s">
        <v>778</v>
      </c>
      <c r="E124" s="21" t="s">
        <v>361</v>
      </c>
      <c r="F124" s="21" t="s">
        <v>381</v>
      </c>
      <c r="G124" s="21" t="s">
        <v>779</v>
      </c>
      <c r="H124" s="21" t="s">
        <v>364</v>
      </c>
      <c r="I124" s="21">
        <f>+LEN(Farmer!$H124)</f>
        <v>283</v>
      </c>
    </row>
    <row r="125" spans="1:9" ht="13.15">
      <c r="A125" s="21" t="s">
        <v>780</v>
      </c>
      <c r="B125" s="21" t="s">
        <v>781</v>
      </c>
      <c r="C125" s="21" t="s">
        <v>485</v>
      </c>
      <c r="D125" s="21" t="s">
        <v>782</v>
      </c>
      <c r="E125" s="21" t="s">
        <v>361</v>
      </c>
      <c r="F125" s="21" t="s">
        <v>488</v>
      </c>
      <c r="G125" s="21" t="s">
        <v>783</v>
      </c>
      <c r="H125" s="21" t="s">
        <v>364</v>
      </c>
      <c r="I125" s="21">
        <f>+LEN(Farmer!$H125)</f>
        <v>283</v>
      </c>
    </row>
    <row r="126" spans="1:9" ht="13.15">
      <c r="A126" s="21" t="s">
        <v>784</v>
      </c>
      <c r="B126" s="21" t="s">
        <v>715</v>
      </c>
      <c r="C126" s="21" t="s">
        <v>396</v>
      </c>
      <c r="D126" s="21" t="s">
        <v>451</v>
      </c>
      <c r="E126" s="21" t="s">
        <v>361</v>
      </c>
      <c r="F126" s="21" t="s">
        <v>477</v>
      </c>
      <c r="G126" s="21" t="s">
        <v>785</v>
      </c>
      <c r="H126" s="21" t="s">
        <v>364</v>
      </c>
      <c r="I126" s="21">
        <f>+LEN(Farmer!$H126)</f>
        <v>283</v>
      </c>
    </row>
    <row r="127" spans="1:9" ht="13.15">
      <c r="A127" s="21" t="s">
        <v>786</v>
      </c>
      <c r="B127" s="21" t="s">
        <v>787</v>
      </c>
      <c r="C127" s="21" t="s">
        <v>516</v>
      </c>
      <c r="D127" s="21" t="s">
        <v>788</v>
      </c>
      <c r="E127" s="21" t="s">
        <v>361</v>
      </c>
      <c r="F127" s="21" t="s">
        <v>381</v>
      </c>
      <c r="G127" s="21" t="s">
        <v>789</v>
      </c>
      <c r="H127" s="21" t="s">
        <v>364</v>
      </c>
      <c r="I127" s="21">
        <f>+LEN(Farmer!$H127)</f>
        <v>283</v>
      </c>
    </row>
    <row r="128" spans="1:9" ht="13.15">
      <c r="A128" s="21" t="s">
        <v>790</v>
      </c>
      <c r="B128" s="21" t="s">
        <v>500</v>
      </c>
      <c r="C128" s="21" t="s">
        <v>485</v>
      </c>
      <c r="D128" s="21" t="s">
        <v>486</v>
      </c>
      <c r="E128" s="21" t="s">
        <v>487</v>
      </c>
      <c r="F128" s="21" t="s">
        <v>488</v>
      </c>
      <c r="G128" s="21" t="s">
        <v>791</v>
      </c>
      <c r="H128" s="21" t="s">
        <v>364</v>
      </c>
      <c r="I128" s="21">
        <f>+LEN(Farmer!$H128)</f>
        <v>283</v>
      </c>
    </row>
    <row r="129" spans="1:9" ht="13.15">
      <c r="A129" s="21" t="s">
        <v>646</v>
      </c>
      <c r="B129" s="21" t="s">
        <v>759</v>
      </c>
      <c r="C129" s="21" t="s">
        <v>485</v>
      </c>
      <c r="D129" s="21" t="s">
        <v>486</v>
      </c>
      <c r="E129" s="21" t="s">
        <v>487</v>
      </c>
      <c r="F129" s="21" t="s">
        <v>488</v>
      </c>
      <c r="G129" s="21" t="s">
        <v>791</v>
      </c>
      <c r="H129" s="21" t="s">
        <v>364</v>
      </c>
      <c r="I129" s="21">
        <f>+LEN(Farmer!$H129)</f>
        <v>283</v>
      </c>
    </row>
    <row r="130" spans="1:9" ht="13.15">
      <c r="A130" s="21" t="s">
        <v>792</v>
      </c>
      <c r="B130" s="21" t="s">
        <v>715</v>
      </c>
      <c r="C130" s="21" t="s">
        <v>396</v>
      </c>
      <c r="D130" s="21" t="s">
        <v>766</v>
      </c>
      <c r="E130" s="21" t="s">
        <v>361</v>
      </c>
      <c r="F130" s="21" t="s">
        <v>581</v>
      </c>
      <c r="G130" s="21" t="s">
        <v>793</v>
      </c>
      <c r="H130" s="21" t="s">
        <v>364</v>
      </c>
      <c r="I130" s="21">
        <f>+LEN(Farmer!$H130)</f>
        <v>283</v>
      </c>
    </row>
    <row r="131" spans="1:9" ht="13.15">
      <c r="A131" s="21" t="s">
        <v>794</v>
      </c>
      <c r="B131" s="21" t="s">
        <v>430</v>
      </c>
      <c r="C131" s="21" t="s">
        <v>795</v>
      </c>
      <c r="D131" s="21" t="s">
        <v>697</v>
      </c>
      <c r="E131" s="21" t="s">
        <v>463</v>
      </c>
      <c r="F131" s="21" t="s">
        <v>392</v>
      </c>
      <c r="G131" s="21" t="s">
        <v>796</v>
      </c>
      <c r="H131" s="21" t="s">
        <v>364</v>
      </c>
      <c r="I131" s="21">
        <f>+LEN(Farmer!$H131)</f>
        <v>283</v>
      </c>
    </row>
    <row r="132" spans="1:9" ht="13.15">
      <c r="A132" s="21" t="s">
        <v>760</v>
      </c>
      <c r="B132" s="21" t="s">
        <v>401</v>
      </c>
      <c r="C132" s="21" t="s">
        <v>390</v>
      </c>
      <c r="D132" s="21" t="s">
        <v>421</v>
      </c>
      <c r="E132" s="21" t="s">
        <v>361</v>
      </c>
      <c r="F132" s="21" t="s">
        <v>392</v>
      </c>
      <c r="G132" s="21" t="s">
        <v>797</v>
      </c>
      <c r="H132" s="21" t="s">
        <v>364</v>
      </c>
      <c r="I132" s="21">
        <f>+LEN(Farmer!$H132)</f>
        <v>283</v>
      </c>
    </row>
    <row r="133" spans="1:9" ht="13.15">
      <c r="A133" s="21" t="s">
        <v>798</v>
      </c>
      <c r="B133" s="21" t="s">
        <v>401</v>
      </c>
      <c r="C133" s="21" t="s">
        <v>390</v>
      </c>
      <c r="D133" s="21" t="s">
        <v>421</v>
      </c>
      <c r="E133" s="21" t="s">
        <v>361</v>
      </c>
      <c r="F133" s="21" t="s">
        <v>392</v>
      </c>
      <c r="G133" s="21" t="s">
        <v>797</v>
      </c>
      <c r="H133" s="21" t="s">
        <v>364</v>
      </c>
      <c r="I133" s="21">
        <f>+LEN(Farmer!$H133)</f>
        <v>283</v>
      </c>
    </row>
    <row r="134" spans="1:9" ht="13.15">
      <c r="A134" s="21" t="s">
        <v>799</v>
      </c>
      <c r="B134" s="21" t="s">
        <v>401</v>
      </c>
      <c r="C134" s="21" t="s">
        <v>390</v>
      </c>
      <c r="D134" s="21" t="s">
        <v>421</v>
      </c>
      <c r="E134" s="21" t="s">
        <v>361</v>
      </c>
      <c r="F134" s="21" t="s">
        <v>392</v>
      </c>
      <c r="G134" s="21" t="s">
        <v>800</v>
      </c>
      <c r="H134" s="21" t="s">
        <v>364</v>
      </c>
      <c r="I134" s="21">
        <f>+LEN(Farmer!$H134)</f>
        <v>283</v>
      </c>
    </row>
    <row r="135" spans="1:9" ht="13.15">
      <c r="A135" s="21" t="s">
        <v>511</v>
      </c>
      <c r="B135" s="21" t="s">
        <v>715</v>
      </c>
      <c r="C135" s="21" t="s">
        <v>801</v>
      </c>
      <c r="D135" s="21" t="s">
        <v>802</v>
      </c>
      <c r="E135" s="21" t="s">
        <v>361</v>
      </c>
      <c r="F135" s="21" t="s">
        <v>398</v>
      </c>
      <c r="G135" s="21" t="s">
        <v>803</v>
      </c>
      <c r="H135" s="21" t="s">
        <v>364</v>
      </c>
      <c r="I135" s="21">
        <f>+LEN(Farmer!$H135)</f>
        <v>283</v>
      </c>
    </row>
    <row r="136" spans="1:9" ht="13.15">
      <c r="A136" s="21" t="s">
        <v>804</v>
      </c>
      <c r="B136" s="21" t="s">
        <v>461</v>
      </c>
      <c r="C136" s="21" t="s">
        <v>431</v>
      </c>
      <c r="D136" s="21" t="s">
        <v>462</v>
      </c>
      <c r="E136" s="21" t="s">
        <v>463</v>
      </c>
      <c r="F136" s="21" t="s">
        <v>805</v>
      </c>
      <c r="G136" s="21" t="s">
        <v>806</v>
      </c>
      <c r="H136" s="21" t="s">
        <v>364</v>
      </c>
      <c r="I136" s="21">
        <f>+LEN(Farmer!$H136)</f>
        <v>283</v>
      </c>
    </row>
    <row r="137" spans="1:9" ht="13.15">
      <c r="A137" s="21" t="s">
        <v>807</v>
      </c>
      <c r="B137" s="21" t="s">
        <v>430</v>
      </c>
      <c r="C137" s="21" t="s">
        <v>431</v>
      </c>
      <c r="D137" s="21" t="s">
        <v>368</v>
      </c>
      <c r="E137" s="21" t="s">
        <v>361</v>
      </c>
      <c r="F137" s="21" t="s">
        <v>398</v>
      </c>
      <c r="G137" s="21" t="s">
        <v>808</v>
      </c>
      <c r="H137" s="21" t="s">
        <v>364</v>
      </c>
      <c r="I137" s="21">
        <f>+LEN(Farmer!$H137)</f>
        <v>283</v>
      </c>
    </row>
    <row r="138" spans="1:9" ht="15" customHeight="1">
      <c r="A138" s="21" t="s">
        <v>809</v>
      </c>
      <c r="B138" s="21" t="s">
        <v>476</v>
      </c>
      <c r="C138" s="21" t="s">
        <v>431</v>
      </c>
      <c r="D138" s="21" t="s">
        <v>368</v>
      </c>
      <c r="E138" s="21" t="s">
        <v>361</v>
      </c>
      <c r="F138" s="21" t="s">
        <v>403</v>
      </c>
      <c r="G138" s="21" t="s">
        <v>810</v>
      </c>
      <c r="H138" s="21" t="s">
        <v>364</v>
      </c>
      <c r="I138" s="21">
        <f>+LEN(Farmer!$H138)</f>
        <v>283</v>
      </c>
    </row>
    <row r="139" spans="1:9" ht="15" customHeight="1">
      <c r="A139" s="21" t="s">
        <v>811</v>
      </c>
      <c r="B139" s="21" t="s">
        <v>812</v>
      </c>
      <c r="C139" s="21" t="s">
        <v>396</v>
      </c>
      <c r="D139" s="21" t="s">
        <v>455</v>
      </c>
      <c r="E139" s="21" t="s">
        <v>361</v>
      </c>
      <c r="F139" s="21" t="s">
        <v>689</v>
      </c>
      <c r="G139" s="21" t="s">
        <v>813</v>
      </c>
      <c r="H139" s="21" t="s">
        <v>364</v>
      </c>
      <c r="I139" s="21">
        <f>+LEN(Farmer!$H139)</f>
        <v>283</v>
      </c>
    </row>
    <row r="140" spans="1:9" ht="15" customHeight="1">
      <c r="A140" s="21" t="s">
        <v>814</v>
      </c>
      <c r="B140" s="21" t="s">
        <v>815</v>
      </c>
      <c r="C140" s="21" t="s">
        <v>816</v>
      </c>
      <c r="D140" s="21" t="s">
        <v>442</v>
      </c>
      <c r="E140" s="21" t="s">
        <v>361</v>
      </c>
      <c r="F140" s="21" t="s">
        <v>817</v>
      </c>
      <c r="G140" s="21" t="s">
        <v>818</v>
      </c>
      <c r="H140" s="21" t="s">
        <v>364</v>
      </c>
      <c r="I140" s="21">
        <f>+LEN(Farmer!$H140)</f>
        <v>283</v>
      </c>
    </row>
    <row r="141" spans="1:9" ht="15" customHeight="1">
      <c r="A141" s="21" t="s">
        <v>819</v>
      </c>
      <c r="B141" s="21" t="s">
        <v>820</v>
      </c>
      <c r="C141" s="21" t="s">
        <v>396</v>
      </c>
      <c r="D141" s="21" t="s">
        <v>766</v>
      </c>
      <c r="E141" s="21" t="s">
        <v>361</v>
      </c>
      <c r="F141" s="21"/>
      <c r="G141" s="21" t="s">
        <v>821</v>
      </c>
      <c r="H141" s="21" t="s">
        <v>364</v>
      </c>
      <c r="I141" s="21">
        <f>+LEN(Farmer!$H141)</f>
        <v>283</v>
      </c>
    </row>
    <row r="142" spans="1:9" ht="15" customHeight="1">
      <c r="A142" s="21" t="s">
        <v>822</v>
      </c>
      <c r="B142" s="21" t="s">
        <v>823</v>
      </c>
      <c r="C142" s="21" t="s">
        <v>824</v>
      </c>
      <c r="D142" s="21" t="s">
        <v>368</v>
      </c>
      <c r="E142" s="21" t="s">
        <v>361</v>
      </c>
      <c r="F142" s="21" t="s">
        <v>825</v>
      </c>
      <c r="G142" s="21" t="s">
        <v>826</v>
      </c>
      <c r="H142" s="21" t="s">
        <v>364</v>
      </c>
      <c r="I142" s="21">
        <f>+LEN(Farmer!$H142)</f>
        <v>283</v>
      </c>
    </row>
    <row r="143" spans="1:9" ht="15" customHeight="1">
      <c r="A143" s="38" t="s">
        <v>631</v>
      </c>
      <c r="B143" s="21" t="s">
        <v>358</v>
      </c>
      <c r="C143" s="21" t="s">
        <v>827</v>
      </c>
      <c r="D143" s="21" t="s">
        <v>828</v>
      </c>
      <c r="E143" s="21" t="s">
        <v>361</v>
      </c>
      <c r="F143" s="21" t="s">
        <v>706</v>
      </c>
      <c r="G143" s="21" t="s">
        <v>829</v>
      </c>
      <c r="H143" s="21" t="s">
        <v>364</v>
      </c>
      <c r="I143" s="21">
        <f>+LEN(Farmer!$H143)</f>
        <v>283</v>
      </c>
    </row>
    <row r="144" spans="1:9" ht="15" customHeight="1">
      <c r="A144" s="21" t="s">
        <v>830</v>
      </c>
      <c r="B144" s="21" t="s">
        <v>831</v>
      </c>
      <c r="C144" s="37" t="s">
        <v>522</v>
      </c>
      <c r="D144" s="21" t="s">
        <v>537</v>
      </c>
      <c r="E144" s="21" t="s">
        <v>361</v>
      </c>
      <c r="F144" s="21" t="s">
        <v>832</v>
      </c>
      <c r="G144" s="21" t="s">
        <v>833</v>
      </c>
      <c r="H144" s="21" t="s">
        <v>364</v>
      </c>
      <c r="I144" s="21">
        <f>+LEN(Farmer!$H144)</f>
        <v>283</v>
      </c>
    </row>
    <row r="145" spans="1:9" ht="15" customHeight="1">
      <c r="A145" s="21" t="s">
        <v>834</v>
      </c>
      <c r="B145" s="21" t="s">
        <v>820</v>
      </c>
      <c r="C145" s="21" t="s">
        <v>396</v>
      </c>
      <c r="D145" s="21" t="s">
        <v>766</v>
      </c>
      <c r="E145" s="21" t="s">
        <v>361</v>
      </c>
      <c r="F145" s="21"/>
      <c r="G145" s="21" t="s">
        <v>835</v>
      </c>
      <c r="H145" s="21" t="s">
        <v>364</v>
      </c>
      <c r="I145" s="21">
        <f>+LEN(Farmer!$H145)</f>
        <v>283</v>
      </c>
    </row>
    <row r="146" spans="1:9" ht="15" customHeight="1">
      <c r="A146" s="21" t="s">
        <v>836</v>
      </c>
      <c r="B146" s="21" t="s">
        <v>389</v>
      </c>
      <c r="C146" s="21" t="s">
        <v>837</v>
      </c>
      <c r="D146" s="21" t="s">
        <v>838</v>
      </c>
      <c r="E146" s="21" t="s">
        <v>361</v>
      </c>
      <c r="F146" s="21" t="s">
        <v>805</v>
      </c>
      <c r="G146" s="21" t="s">
        <v>839</v>
      </c>
      <c r="H146" s="21" t="s">
        <v>364</v>
      </c>
      <c r="I146" s="21">
        <f>+LEN(Farmer!$H146)</f>
        <v>283</v>
      </c>
    </row>
    <row r="147" spans="1:9" ht="15" customHeight="1">
      <c r="A147" s="21" t="s">
        <v>840</v>
      </c>
      <c r="B147" s="21" t="s">
        <v>409</v>
      </c>
      <c r="C147" s="21" t="s">
        <v>379</v>
      </c>
      <c r="D147" s="21" t="s">
        <v>368</v>
      </c>
      <c r="E147" s="21" t="s">
        <v>361</v>
      </c>
      <c r="F147" s="21" t="s">
        <v>464</v>
      </c>
      <c r="G147" s="21" t="s">
        <v>839</v>
      </c>
      <c r="H147" s="21" t="s">
        <v>364</v>
      </c>
      <c r="I147" s="21">
        <f>+LEN(Farmer!$H147)</f>
        <v>283</v>
      </c>
    </row>
    <row r="148" spans="1:9" ht="15" customHeight="1">
      <c r="A148" s="21" t="s">
        <v>841</v>
      </c>
      <c r="B148" s="21" t="s">
        <v>769</v>
      </c>
      <c r="C148" s="21" t="s">
        <v>842</v>
      </c>
      <c r="D148" s="21" t="s">
        <v>843</v>
      </c>
      <c r="E148" s="21" t="s">
        <v>361</v>
      </c>
      <c r="F148" s="21" t="s">
        <v>844</v>
      </c>
      <c r="G148" s="21" t="s">
        <v>845</v>
      </c>
      <c r="H148" s="21" t="s">
        <v>364</v>
      </c>
      <c r="I148" s="21">
        <f>+LEN(Farmer!$H148)</f>
        <v>283</v>
      </c>
    </row>
    <row r="149" spans="1:9" ht="15" customHeight="1">
      <c r="A149" s="21" t="s">
        <v>780</v>
      </c>
      <c r="B149" s="21" t="s">
        <v>846</v>
      </c>
      <c r="C149" s="21" t="s">
        <v>761</v>
      </c>
      <c r="D149" s="21" t="s">
        <v>802</v>
      </c>
      <c r="E149" s="21" t="s">
        <v>361</v>
      </c>
      <c r="F149" s="21" t="s">
        <v>847</v>
      </c>
      <c r="G149" s="21" t="s">
        <v>848</v>
      </c>
      <c r="H149" s="21" t="s">
        <v>364</v>
      </c>
      <c r="I149" s="21">
        <f>+LEN(Farmer!$H149)</f>
        <v>283</v>
      </c>
    </row>
    <row r="150" spans="1:9" ht="15" customHeight="1">
      <c r="A150" s="21" t="s">
        <v>529</v>
      </c>
      <c r="B150" s="21" t="s">
        <v>409</v>
      </c>
      <c r="C150" s="21" t="s">
        <v>446</v>
      </c>
      <c r="D150" s="21" t="s">
        <v>566</v>
      </c>
      <c r="E150" s="21" t="s">
        <v>361</v>
      </c>
      <c r="F150" s="21" t="s">
        <v>498</v>
      </c>
      <c r="G150" s="21" t="s">
        <v>849</v>
      </c>
      <c r="H150" s="21" t="s">
        <v>364</v>
      </c>
      <c r="I150" s="21">
        <f>+LEN(Farmer!$H150)</f>
        <v>283</v>
      </c>
    </row>
    <row r="151" spans="1:9" ht="15" customHeight="1">
      <c r="A151" s="38" t="s">
        <v>850</v>
      </c>
      <c r="B151" s="21" t="s">
        <v>851</v>
      </c>
      <c r="C151" s="21" t="s">
        <v>852</v>
      </c>
      <c r="D151" s="21" t="s">
        <v>853</v>
      </c>
      <c r="E151" s="21" t="s">
        <v>854</v>
      </c>
      <c r="F151" s="21" t="s">
        <v>855</v>
      </c>
      <c r="G151" s="21" t="s">
        <v>856</v>
      </c>
      <c r="H151" s="21" t="s">
        <v>364</v>
      </c>
      <c r="I151" s="21">
        <f>+LEN(Farmer!$H151)</f>
        <v>283</v>
      </c>
    </row>
    <row r="152" spans="1:9" ht="15" customHeight="1">
      <c r="A152" s="21" t="s">
        <v>857</v>
      </c>
      <c r="B152" s="21" t="s">
        <v>715</v>
      </c>
      <c r="C152" s="21" t="s">
        <v>379</v>
      </c>
      <c r="D152" s="21" t="s">
        <v>858</v>
      </c>
      <c r="E152" s="21" t="s">
        <v>361</v>
      </c>
      <c r="F152" s="21" t="s">
        <v>859</v>
      </c>
      <c r="G152" s="21" t="s">
        <v>860</v>
      </c>
      <c r="H152" s="21" t="s">
        <v>364</v>
      </c>
      <c r="I152" s="21">
        <f>+LEN(Farmer!$H152)</f>
        <v>283</v>
      </c>
    </row>
    <row r="153" spans="1:9" ht="15" customHeight="1">
      <c r="A153" s="21" t="s">
        <v>861</v>
      </c>
      <c r="B153" s="21" t="s">
        <v>476</v>
      </c>
      <c r="C153" s="21" t="s">
        <v>431</v>
      </c>
      <c r="D153" s="21" t="s">
        <v>858</v>
      </c>
      <c r="E153" s="21" t="s">
        <v>493</v>
      </c>
      <c r="F153" s="21" t="s">
        <v>862</v>
      </c>
      <c r="G153" s="21" t="s">
        <v>863</v>
      </c>
      <c r="H153" s="21" t="s">
        <v>364</v>
      </c>
      <c r="I153" s="21">
        <f>+LEN(Farmer!$H153)</f>
        <v>283</v>
      </c>
    </row>
    <row r="154" spans="1:9" ht="15" customHeight="1">
      <c r="A154" s="21" t="s">
        <v>864</v>
      </c>
      <c r="B154" s="21" t="s">
        <v>715</v>
      </c>
      <c r="C154" s="21" t="s">
        <v>379</v>
      </c>
      <c r="D154" s="21" t="s">
        <v>858</v>
      </c>
      <c r="E154" s="21" t="s">
        <v>361</v>
      </c>
      <c r="F154" s="21" t="s">
        <v>859</v>
      </c>
      <c r="G154" s="21" t="s">
        <v>865</v>
      </c>
      <c r="H154" s="21" t="s">
        <v>364</v>
      </c>
      <c r="I154" s="21">
        <f>+LEN(Farmer!$H154)</f>
        <v>283</v>
      </c>
    </row>
    <row r="155" spans="1:9" ht="15" customHeight="1">
      <c r="A155" s="21" t="s">
        <v>866</v>
      </c>
      <c r="B155" s="21" t="s">
        <v>715</v>
      </c>
      <c r="C155" s="21" t="s">
        <v>396</v>
      </c>
      <c r="D155" s="21" t="s">
        <v>766</v>
      </c>
      <c r="E155" s="21" t="s">
        <v>361</v>
      </c>
      <c r="F155" s="21" t="s">
        <v>581</v>
      </c>
      <c r="G155" s="21" t="s">
        <v>867</v>
      </c>
      <c r="H155" s="21" t="s">
        <v>364</v>
      </c>
      <c r="I155" s="21">
        <f>+LEN(Farmer!$H155)</f>
        <v>283</v>
      </c>
    </row>
    <row r="156" spans="1:9" ht="15" customHeight="1">
      <c r="A156" s="21" t="s">
        <v>868</v>
      </c>
      <c r="B156" s="21" t="s">
        <v>435</v>
      </c>
      <c r="C156" s="21" t="s">
        <v>390</v>
      </c>
      <c r="D156" s="21" t="s">
        <v>421</v>
      </c>
      <c r="E156" s="21" t="s">
        <v>361</v>
      </c>
      <c r="F156" s="21" t="s">
        <v>392</v>
      </c>
      <c r="G156" s="21" t="s">
        <v>869</v>
      </c>
      <c r="H156" s="21" t="s">
        <v>364</v>
      </c>
      <c r="I156" s="21">
        <f>+LEN(Farmer!$H156)</f>
        <v>283</v>
      </c>
    </row>
    <row r="157" spans="1:9" ht="15" customHeight="1">
      <c r="A157" s="21" t="s">
        <v>870</v>
      </c>
      <c r="B157" s="21" t="s">
        <v>871</v>
      </c>
      <c r="C157" s="21" t="s">
        <v>436</v>
      </c>
      <c r="D157" s="21" t="s">
        <v>566</v>
      </c>
      <c r="E157" s="21" t="s">
        <v>361</v>
      </c>
      <c r="F157" s="21" t="s">
        <v>381</v>
      </c>
      <c r="G157" s="21" t="s">
        <v>872</v>
      </c>
      <c r="H157" s="21" t="s">
        <v>364</v>
      </c>
      <c r="I157" s="21">
        <f>+LEN(Farmer!$H157)</f>
        <v>283</v>
      </c>
    </row>
    <row r="158" spans="1:9" ht="15" customHeight="1">
      <c r="A158" s="21" t="s">
        <v>873</v>
      </c>
      <c r="B158" s="21" t="s">
        <v>430</v>
      </c>
      <c r="C158" s="21" t="s">
        <v>367</v>
      </c>
      <c r="D158" s="21" t="s">
        <v>368</v>
      </c>
      <c r="E158" s="21" t="s">
        <v>361</v>
      </c>
      <c r="F158" s="21" t="s">
        <v>805</v>
      </c>
      <c r="G158" s="21" t="s">
        <v>874</v>
      </c>
      <c r="H158" s="21" t="s">
        <v>364</v>
      </c>
      <c r="I158" s="21">
        <f>+LEN(Farmer!$H158)</f>
        <v>283</v>
      </c>
    </row>
    <row r="159" spans="1:9" ht="15" customHeight="1">
      <c r="A159" s="21" t="s">
        <v>875</v>
      </c>
      <c r="B159" s="21" t="s">
        <v>876</v>
      </c>
      <c r="C159" s="21" t="s">
        <v>877</v>
      </c>
      <c r="D159" s="21" t="s">
        <v>584</v>
      </c>
      <c r="E159" s="21" t="s">
        <v>878</v>
      </c>
      <c r="F159" s="21" t="s">
        <v>879</v>
      </c>
      <c r="G159" s="21" t="s">
        <v>880</v>
      </c>
      <c r="H159" s="21" t="s">
        <v>364</v>
      </c>
      <c r="I159" s="21">
        <f>+LEN(Farmer!$H159)</f>
        <v>283</v>
      </c>
    </row>
    <row r="160" spans="1:9" ht="15" customHeight="1">
      <c r="A160" s="21" t="s">
        <v>870</v>
      </c>
      <c r="B160" s="21" t="s">
        <v>476</v>
      </c>
      <c r="C160" s="21" t="s">
        <v>549</v>
      </c>
      <c r="D160" s="21" t="s">
        <v>411</v>
      </c>
      <c r="E160" s="21" t="s">
        <v>361</v>
      </c>
      <c r="F160" s="21" t="s">
        <v>881</v>
      </c>
      <c r="G160" s="21" t="s">
        <v>880</v>
      </c>
      <c r="H160" s="21" t="s">
        <v>364</v>
      </c>
      <c r="I160" s="21">
        <f>+LEN(Farmer!$H160)</f>
        <v>283</v>
      </c>
    </row>
    <row r="161" spans="1:9" ht="15" customHeight="1">
      <c r="A161" s="21" t="s">
        <v>564</v>
      </c>
      <c r="B161" s="21" t="s">
        <v>476</v>
      </c>
      <c r="C161" s="21" t="s">
        <v>549</v>
      </c>
      <c r="D161" s="21" t="s">
        <v>411</v>
      </c>
      <c r="E161" s="21" t="s">
        <v>361</v>
      </c>
      <c r="F161" s="21" t="s">
        <v>881</v>
      </c>
      <c r="G161" s="21" t="s">
        <v>882</v>
      </c>
      <c r="H161" s="21" t="s">
        <v>364</v>
      </c>
      <c r="I161" s="21">
        <f>+LEN(Farmer!$H161)</f>
        <v>283</v>
      </c>
    </row>
    <row r="162" spans="1:9" ht="15" customHeight="1">
      <c r="A162" s="21" t="s">
        <v>564</v>
      </c>
      <c r="B162" s="21" t="s">
        <v>476</v>
      </c>
      <c r="C162" s="21" t="s">
        <v>549</v>
      </c>
      <c r="D162" s="21" t="s">
        <v>411</v>
      </c>
      <c r="E162" s="21" t="s">
        <v>361</v>
      </c>
      <c r="F162" s="21" t="s">
        <v>881</v>
      </c>
      <c r="G162" s="21" t="s">
        <v>883</v>
      </c>
      <c r="H162" s="21" t="s">
        <v>364</v>
      </c>
      <c r="I162" s="21">
        <f>+LEN(Farmer!$H162)</f>
        <v>283</v>
      </c>
    </row>
    <row r="163" spans="1:9" ht="15" customHeight="1">
      <c r="A163" s="21" t="s">
        <v>884</v>
      </c>
      <c r="B163" s="21" t="s">
        <v>409</v>
      </c>
      <c r="C163" s="21" t="s">
        <v>761</v>
      </c>
      <c r="D163" s="21" t="s">
        <v>762</v>
      </c>
      <c r="E163" s="21" t="s">
        <v>361</v>
      </c>
      <c r="F163" s="21" t="s">
        <v>392</v>
      </c>
      <c r="G163" s="21" t="s">
        <v>885</v>
      </c>
      <c r="H163" s="21" t="s">
        <v>364</v>
      </c>
      <c r="I163" s="21">
        <f>+LEN(Farmer!$H163)</f>
        <v>283</v>
      </c>
    </row>
    <row r="164" spans="1:9" ht="15" customHeight="1">
      <c r="A164" s="21" t="s">
        <v>886</v>
      </c>
      <c r="B164" s="21" t="s">
        <v>384</v>
      </c>
      <c r="C164" s="21" t="s">
        <v>877</v>
      </c>
      <c r="D164" s="21" t="s">
        <v>584</v>
      </c>
      <c r="E164" s="21" t="s">
        <v>361</v>
      </c>
      <c r="F164" s="21" t="s">
        <v>887</v>
      </c>
      <c r="G164" s="21" t="s">
        <v>888</v>
      </c>
      <c r="H164" s="21" t="s">
        <v>364</v>
      </c>
      <c r="I164" s="21">
        <f>+LEN(Farmer!$H164)</f>
        <v>283</v>
      </c>
    </row>
    <row r="165" spans="1:9" ht="15" customHeight="1">
      <c r="A165" s="21" t="s">
        <v>889</v>
      </c>
      <c r="B165" s="21" t="s">
        <v>401</v>
      </c>
      <c r="C165" s="21" t="s">
        <v>390</v>
      </c>
      <c r="D165" s="21" t="s">
        <v>421</v>
      </c>
      <c r="E165" s="21" t="s">
        <v>361</v>
      </c>
      <c r="F165" s="21" t="s">
        <v>392</v>
      </c>
      <c r="G165" s="21" t="s">
        <v>890</v>
      </c>
      <c r="H165" s="21" t="s">
        <v>364</v>
      </c>
      <c r="I165" s="21">
        <f>+LEN(Farmer!$H165)</f>
        <v>283</v>
      </c>
    </row>
    <row r="166" spans="1:9" ht="13.15">
      <c r="A166" s="21" t="s">
        <v>891</v>
      </c>
      <c r="B166" s="21" t="s">
        <v>611</v>
      </c>
      <c r="C166" s="21" t="s">
        <v>473</v>
      </c>
      <c r="D166" s="21" t="s">
        <v>411</v>
      </c>
      <c r="E166" s="21" t="s">
        <v>361</v>
      </c>
      <c r="F166" s="21"/>
      <c r="G166" s="21" t="s">
        <v>892</v>
      </c>
      <c r="H166" s="21" t="s">
        <v>364</v>
      </c>
      <c r="I166" s="21">
        <f>+LEN(Farmer!$H166)</f>
        <v>283</v>
      </c>
    </row>
    <row r="167" spans="1:9" ht="13.15">
      <c r="A167" s="21" t="s">
        <v>893</v>
      </c>
      <c r="B167" s="21" t="s">
        <v>894</v>
      </c>
      <c r="C167" s="21" t="s">
        <v>895</v>
      </c>
      <c r="D167" s="21" t="s">
        <v>542</v>
      </c>
      <c r="E167" s="21" t="s">
        <v>361</v>
      </c>
      <c r="F167" s="21" t="s">
        <v>896</v>
      </c>
      <c r="G167" s="21"/>
      <c r="H167" s="21" t="s">
        <v>364</v>
      </c>
      <c r="I167" s="21">
        <f>+LEN(Farmer!$H167)</f>
        <v>283</v>
      </c>
    </row>
    <row r="168" spans="1:9" ht="13.15">
      <c r="A168" s="21" t="s">
        <v>897</v>
      </c>
      <c r="B168" s="21" t="s">
        <v>898</v>
      </c>
      <c r="C168" s="21" t="s">
        <v>431</v>
      </c>
      <c r="D168" s="21" t="s">
        <v>675</v>
      </c>
      <c r="E168" s="21" t="s">
        <v>463</v>
      </c>
      <c r="F168" s="21" t="s">
        <v>899</v>
      </c>
      <c r="G168" s="21"/>
      <c r="H168" s="21" t="s">
        <v>364</v>
      </c>
      <c r="I168" s="21">
        <f>+LEN(Farmer!$H168)</f>
        <v>283</v>
      </c>
    </row>
    <row r="169" spans="1:9" ht="13.15">
      <c r="A169" s="21" t="s">
        <v>900</v>
      </c>
      <c r="B169" s="21" t="s">
        <v>901</v>
      </c>
      <c r="C169" s="21" t="s">
        <v>549</v>
      </c>
      <c r="D169" s="21" t="s">
        <v>411</v>
      </c>
      <c r="E169" s="21" t="s">
        <v>361</v>
      </c>
      <c r="F169" s="21" t="s">
        <v>392</v>
      </c>
      <c r="G169" s="21" t="s">
        <v>902</v>
      </c>
      <c r="H169" s="21" t="s">
        <v>364</v>
      </c>
      <c r="I169" s="21">
        <f>+LEN(Farmer!$H169)</f>
        <v>283</v>
      </c>
    </row>
    <row r="170" spans="1:9" ht="13.15">
      <c r="A170" s="21" t="s">
        <v>533</v>
      </c>
      <c r="B170" s="21" t="s">
        <v>476</v>
      </c>
      <c r="C170" s="21" t="s">
        <v>549</v>
      </c>
      <c r="D170" s="21" t="s">
        <v>411</v>
      </c>
      <c r="E170" s="21" t="s">
        <v>361</v>
      </c>
      <c r="F170" s="21" t="s">
        <v>903</v>
      </c>
      <c r="G170" s="21" t="s">
        <v>904</v>
      </c>
      <c r="H170" s="21" t="s">
        <v>364</v>
      </c>
      <c r="I170" s="21">
        <f>+LEN(Farmer!$H170)</f>
        <v>283</v>
      </c>
    </row>
    <row r="171" spans="1:9" ht="13.15">
      <c r="A171" s="21" t="s">
        <v>870</v>
      </c>
      <c r="B171" s="21"/>
      <c r="C171" s="21"/>
      <c r="D171" s="21"/>
      <c r="E171" s="21"/>
      <c r="F171" s="21"/>
      <c r="G171" s="21" t="s">
        <v>905</v>
      </c>
      <c r="H171" s="21" t="s">
        <v>364</v>
      </c>
      <c r="I171" s="21">
        <f>+LEN(Farmer!$H171)</f>
        <v>283</v>
      </c>
    </row>
    <row r="172" spans="1:9" ht="13.15">
      <c r="A172" s="21" t="s">
        <v>840</v>
      </c>
      <c r="B172" s="21" t="s">
        <v>715</v>
      </c>
      <c r="C172" s="21" t="s">
        <v>396</v>
      </c>
      <c r="D172" s="21" t="s">
        <v>766</v>
      </c>
      <c r="E172" s="21" t="s">
        <v>361</v>
      </c>
      <c r="F172" s="21" t="s">
        <v>518</v>
      </c>
      <c r="G172" s="21" t="s">
        <v>906</v>
      </c>
      <c r="H172" s="21" t="s">
        <v>364</v>
      </c>
      <c r="I172" s="21">
        <f>+LEN(Farmer!$H172)</f>
        <v>283</v>
      </c>
    </row>
    <row r="173" spans="1:9" ht="13.15">
      <c r="A173" s="21" t="s">
        <v>907</v>
      </c>
      <c r="B173" s="21" t="s">
        <v>715</v>
      </c>
      <c r="C173" s="21" t="s">
        <v>396</v>
      </c>
      <c r="D173" s="21" t="s">
        <v>766</v>
      </c>
      <c r="E173" s="21" t="s">
        <v>361</v>
      </c>
      <c r="F173" s="21" t="s">
        <v>518</v>
      </c>
      <c r="G173" s="21" t="s">
        <v>908</v>
      </c>
      <c r="H173" s="21" t="s">
        <v>364</v>
      </c>
      <c r="I173" s="21">
        <f>+LEN(Farmer!$H173)</f>
        <v>283</v>
      </c>
    </row>
    <row r="174" spans="1:9" ht="13.15">
      <c r="A174" s="21" t="s">
        <v>909</v>
      </c>
      <c r="B174" s="21" t="s">
        <v>715</v>
      </c>
      <c r="C174" s="21" t="s">
        <v>396</v>
      </c>
      <c r="D174" s="21" t="s">
        <v>766</v>
      </c>
      <c r="E174" s="21" t="s">
        <v>361</v>
      </c>
      <c r="F174" s="21" t="s">
        <v>581</v>
      </c>
      <c r="G174" s="21" t="s">
        <v>910</v>
      </c>
      <c r="H174" s="21" t="s">
        <v>364</v>
      </c>
      <c r="I174" s="21">
        <f>+LEN(Farmer!$H174)</f>
        <v>283</v>
      </c>
    </row>
    <row r="175" spans="1:9" ht="13.15">
      <c r="A175" s="21" t="s">
        <v>911</v>
      </c>
      <c r="B175" s="21" t="s">
        <v>715</v>
      </c>
      <c r="C175" s="21" t="s">
        <v>396</v>
      </c>
      <c r="D175" s="21" t="s">
        <v>766</v>
      </c>
      <c r="E175" s="21" t="s">
        <v>361</v>
      </c>
      <c r="F175" s="21" t="s">
        <v>518</v>
      </c>
      <c r="G175" s="21" t="s">
        <v>912</v>
      </c>
      <c r="H175" s="21" t="s">
        <v>364</v>
      </c>
      <c r="I175" s="21">
        <f>+LEN(Farmer!$H175)</f>
        <v>283</v>
      </c>
    </row>
    <row r="176" spans="1:9" ht="13.15">
      <c r="A176" s="21" t="s">
        <v>913</v>
      </c>
      <c r="B176" s="21" t="s">
        <v>715</v>
      </c>
      <c r="C176" s="21" t="s">
        <v>396</v>
      </c>
      <c r="D176" s="21" t="s">
        <v>766</v>
      </c>
      <c r="E176" s="21" t="s">
        <v>361</v>
      </c>
      <c r="F176" s="21" t="s">
        <v>581</v>
      </c>
      <c r="G176" s="21" t="s">
        <v>914</v>
      </c>
      <c r="H176" s="21" t="s">
        <v>364</v>
      </c>
      <c r="I176" s="21">
        <f>+LEN(Farmer!$H176)</f>
        <v>283</v>
      </c>
    </row>
    <row r="177" spans="1:9" ht="13.15">
      <c r="A177" s="21" t="s">
        <v>913</v>
      </c>
      <c r="B177" s="21" t="s">
        <v>715</v>
      </c>
      <c r="C177" s="21" t="s">
        <v>396</v>
      </c>
      <c r="D177" s="21" t="s">
        <v>766</v>
      </c>
      <c r="E177" s="21" t="s">
        <v>361</v>
      </c>
      <c r="F177" s="21" t="s">
        <v>581</v>
      </c>
      <c r="G177" s="21" t="s">
        <v>915</v>
      </c>
      <c r="H177" s="21" t="s">
        <v>364</v>
      </c>
      <c r="I177" s="21">
        <f>+LEN(Farmer!$H177)</f>
        <v>283</v>
      </c>
    </row>
    <row r="178" spans="1:9" ht="13.15">
      <c r="A178" s="21" t="s">
        <v>916</v>
      </c>
      <c r="B178" s="21" t="s">
        <v>917</v>
      </c>
      <c r="C178" s="21" t="s">
        <v>918</v>
      </c>
      <c r="D178" s="21" t="s">
        <v>411</v>
      </c>
      <c r="E178" s="21" t="s">
        <v>361</v>
      </c>
      <c r="F178" s="21" t="s">
        <v>919</v>
      </c>
      <c r="G178" s="21" t="s">
        <v>920</v>
      </c>
      <c r="H178" s="21" t="s">
        <v>364</v>
      </c>
      <c r="I178" s="21">
        <f>+LEN(Farmer!$H178)</f>
        <v>283</v>
      </c>
    </row>
    <row r="179" spans="1:9" ht="13.15">
      <c r="A179" s="21" t="s">
        <v>434</v>
      </c>
      <c r="B179" s="21" t="s">
        <v>917</v>
      </c>
      <c r="C179" s="21" t="s">
        <v>918</v>
      </c>
      <c r="D179" s="21" t="s">
        <v>411</v>
      </c>
      <c r="E179" s="21" t="s">
        <v>361</v>
      </c>
      <c r="F179" s="21" t="s">
        <v>919</v>
      </c>
      <c r="G179" s="21" t="s">
        <v>920</v>
      </c>
      <c r="H179" s="21" t="s">
        <v>364</v>
      </c>
      <c r="I179" s="21">
        <f>+LEN(Farmer!$H179)</f>
        <v>283</v>
      </c>
    </row>
    <row r="180" spans="1:9" ht="13.15">
      <c r="A180" s="21" t="s">
        <v>870</v>
      </c>
      <c r="B180" s="21" t="s">
        <v>715</v>
      </c>
      <c r="C180" s="21" t="s">
        <v>396</v>
      </c>
      <c r="D180" s="21" t="s">
        <v>766</v>
      </c>
      <c r="E180" s="21" t="s">
        <v>361</v>
      </c>
      <c r="F180" s="21" t="s">
        <v>581</v>
      </c>
      <c r="G180" s="21" t="s">
        <v>921</v>
      </c>
      <c r="H180" s="21" t="s">
        <v>364</v>
      </c>
      <c r="I180" s="21">
        <f>+LEN(Farmer!$H180)</f>
        <v>283</v>
      </c>
    </row>
    <row r="181" spans="1:9" ht="13.15">
      <c r="A181" s="21" t="s">
        <v>873</v>
      </c>
      <c r="B181" s="21" t="s">
        <v>395</v>
      </c>
      <c r="C181" s="21" t="s">
        <v>396</v>
      </c>
      <c r="D181" s="21" t="s">
        <v>397</v>
      </c>
      <c r="E181" s="21" t="s">
        <v>361</v>
      </c>
      <c r="F181" s="21" t="s">
        <v>398</v>
      </c>
      <c r="G181" s="21" t="s">
        <v>922</v>
      </c>
      <c r="H181" s="21" t="s">
        <v>364</v>
      </c>
      <c r="I181" s="21">
        <f>+LEN(Farmer!$H181)</f>
        <v>283</v>
      </c>
    </row>
    <row r="182" spans="1:9" ht="13.15">
      <c r="A182" s="21" t="s">
        <v>840</v>
      </c>
      <c r="B182" s="21" t="s">
        <v>831</v>
      </c>
      <c r="C182" s="37" t="s">
        <v>522</v>
      </c>
      <c r="D182" s="21" t="s">
        <v>537</v>
      </c>
      <c r="E182" s="21" t="s">
        <v>361</v>
      </c>
      <c r="F182" s="21" t="s">
        <v>923</v>
      </c>
      <c r="G182" s="21" t="s">
        <v>924</v>
      </c>
      <c r="H182" s="21" t="s">
        <v>364</v>
      </c>
      <c r="I182" s="21">
        <f>+LEN(Farmer!$H182)</f>
        <v>283</v>
      </c>
    </row>
    <row r="183" spans="1:9" ht="13.15">
      <c r="A183" s="21" t="s">
        <v>357</v>
      </c>
      <c r="B183" s="21" t="s">
        <v>715</v>
      </c>
      <c r="C183" s="21" t="s">
        <v>396</v>
      </c>
      <c r="D183" s="21" t="s">
        <v>766</v>
      </c>
      <c r="E183" s="21" t="s">
        <v>361</v>
      </c>
      <c r="F183" s="21" t="s">
        <v>581</v>
      </c>
      <c r="G183" s="21" t="s">
        <v>925</v>
      </c>
      <c r="H183" s="21" t="s">
        <v>364</v>
      </c>
      <c r="I183" s="21">
        <f>+LEN(Farmer!$H183)</f>
        <v>283</v>
      </c>
    </row>
    <row r="184" spans="1:9" ht="13.15">
      <c r="A184" s="21" t="s">
        <v>926</v>
      </c>
      <c r="B184" s="21" t="s">
        <v>927</v>
      </c>
      <c r="C184" s="21" t="s">
        <v>928</v>
      </c>
      <c r="D184" s="21" t="s">
        <v>766</v>
      </c>
      <c r="E184" s="21" t="s">
        <v>361</v>
      </c>
      <c r="F184" s="21" t="s">
        <v>929</v>
      </c>
      <c r="G184" s="21" t="s">
        <v>930</v>
      </c>
      <c r="H184" s="21" t="s">
        <v>364</v>
      </c>
      <c r="I184" s="21">
        <f>+LEN(Farmer!$H184)</f>
        <v>283</v>
      </c>
    </row>
    <row r="185" spans="1:9" ht="13.15">
      <c r="A185" s="21" t="s">
        <v>931</v>
      </c>
      <c r="B185" s="21" t="s">
        <v>715</v>
      </c>
      <c r="C185" s="21" t="s">
        <v>396</v>
      </c>
      <c r="D185" s="21" t="s">
        <v>766</v>
      </c>
      <c r="E185" s="21" t="s">
        <v>361</v>
      </c>
      <c r="F185" s="21" t="s">
        <v>581</v>
      </c>
      <c r="G185" s="21" t="s">
        <v>932</v>
      </c>
      <c r="H185" s="21" t="s">
        <v>364</v>
      </c>
      <c r="I185" s="21">
        <f>+LEN(Farmer!$H185)</f>
        <v>283</v>
      </c>
    </row>
    <row r="186" spans="1:9" ht="13.15">
      <c r="A186" s="21" t="s">
        <v>913</v>
      </c>
      <c r="B186" s="21" t="s">
        <v>871</v>
      </c>
      <c r="C186" s="21" t="s">
        <v>436</v>
      </c>
      <c r="D186" s="21" t="s">
        <v>566</v>
      </c>
      <c r="E186" s="21" t="s">
        <v>361</v>
      </c>
      <c r="F186" s="21" t="s">
        <v>381</v>
      </c>
      <c r="G186" s="21" t="s">
        <v>933</v>
      </c>
      <c r="H186" s="21" t="s">
        <v>364</v>
      </c>
      <c r="I186" s="21">
        <f>+LEN(Farmer!$H186)</f>
        <v>283</v>
      </c>
    </row>
    <row r="187" spans="1:9" ht="13.15">
      <c r="A187" s="21" t="s">
        <v>870</v>
      </c>
      <c r="B187" s="21" t="s">
        <v>715</v>
      </c>
      <c r="C187" s="21" t="s">
        <v>396</v>
      </c>
      <c r="D187" s="21" t="s">
        <v>766</v>
      </c>
      <c r="E187" s="21" t="s">
        <v>361</v>
      </c>
      <c r="F187" s="21" t="s">
        <v>581</v>
      </c>
      <c r="G187" s="21" t="s">
        <v>934</v>
      </c>
      <c r="H187" s="21" t="s">
        <v>364</v>
      </c>
      <c r="I187" s="21">
        <f>+LEN(Farmer!$H187)</f>
        <v>283</v>
      </c>
    </row>
    <row r="188" spans="1:9" ht="13.15">
      <c r="A188" s="21" t="s">
        <v>935</v>
      </c>
      <c r="B188" s="21" t="s">
        <v>901</v>
      </c>
      <c r="C188" s="21" t="s">
        <v>549</v>
      </c>
      <c r="D188" s="21" t="s">
        <v>411</v>
      </c>
      <c r="E188" s="21" t="s">
        <v>361</v>
      </c>
      <c r="F188" s="21" t="s">
        <v>392</v>
      </c>
      <c r="G188" s="21" t="s">
        <v>936</v>
      </c>
      <c r="H188" s="21" t="s">
        <v>364</v>
      </c>
      <c r="I188" s="21">
        <f>+LEN(Farmer!$H188)</f>
        <v>283</v>
      </c>
    </row>
    <row r="189" spans="1:9" ht="13.15">
      <c r="A189" s="21" t="s">
        <v>937</v>
      </c>
      <c r="B189" s="21" t="s">
        <v>901</v>
      </c>
      <c r="C189" s="21" t="s">
        <v>549</v>
      </c>
      <c r="D189" s="21" t="s">
        <v>411</v>
      </c>
      <c r="E189" s="21" t="s">
        <v>361</v>
      </c>
      <c r="F189" s="21" t="s">
        <v>392</v>
      </c>
      <c r="G189" s="21" t="s">
        <v>938</v>
      </c>
      <c r="H189" s="21" t="s">
        <v>364</v>
      </c>
      <c r="I189" s="21">
        <f>+LEN(Farmer!$H189)</f>
        <v>283</v>
      </c>
    </row>
    <row r="190" spans="1:9" ht="13.15">
      <c r="A190" s="21" t="s">
        <v>939</v>
      </c>
      <c r="B190" s="21" t="s">
        <v>901</v>
      </c>
      <c r="C190" s="21" t="s">
        <v>549</v>
      </c>
      <c r="D190" s="21" t="s">
        <v>411</v>
      </c>
      <c r="E190" s="21" t="s">
        <v>361</v>
      </c>
      <c r="F190" s="21" t="s">
        <v>392</v>
      </c>
      <c r="G190" s="21" t="s">
        <v>940</v>
      </c>
      <c r="H190" s="21" t="s">
        <v>364</v>
      </c>
      <c r="I190" s="21">
        <f>+LEN(Farmer!$H190)</f>
        <v>283</v>
      </c>
    </row>
    <row r="191" spans="1:9" ht="13.15">
      <c r="A191" s="21" t="s">
        <v>941</v>
      </c>
      <c r="B191" s="21" t="s">
        <v>430</v>
      </c>
      <c r="C191" s="21" t="s">
        <v>560</v>
      </c>
      <c r="D191" s="21" t="s">
        <v>411</v>
      </c>
      <c r="E191" s="21" t="s">
        <v>361</v>
      </c>
      <c r="F191" s="21" t="s">
        <v>561</v>
      </c>
      <c r="G191" s="21" t="s">
        <v>942</v>
      </c>
      <c r="H191" s="21" t="s">
        <v>364</v>
      </c>
      <c r="I191" s="21">
        <f>+LEN(Farmer!$H191)</f>
        <v>283</v>
      </c>
    </row>
    <row r="192" spans="1:9" ht="13.15">
      <c r="A192" s="21" t="s">
        <v>913</v>
      </c>
      <c r="B192" s="21" t="s">
        <v>565</v>
      </c>
      <c r="C192" s="21" t="s">
        <v>560</v>
      </c>
      <c r="D192" s="21" t="s">
        <v>566</v>
      </c>
      <c r="E192" s="21" t="s">
        <v>361</v>
      </c>
      <c r="F192" s="21" t="s">
        <v>567</v>
      </c>
      <c r="G192" s="21" t="s">
        <v>943</v>
      </c>
      <c r="H192" s="21" t="s">
        <v>364</v>
      </c>
      <c r="I192" s="21">
        <f>+LEN(Farmer!$H192)</f>
        <v>283</v>
      </c>
    </row>
    <row r="193" spans="1:9" ht="13.15">
      <c r="A193" s="21" t="s">
        <v>944</v>
      </c>
      <c r="B193" s="21" t="s">
        <v>901</v>
      </c>
      <c r="C193" s="21" t="s">
        <v>549</v>
      </c>
      <c r="D193" s="21" t="s">
        <v>411</v>
      </c>
      <c r="E193" s="21" t="s">
        <v>361</v>
      </c>
      <c r="F193" s="21" t="s">
        <v>392</v>
      </c>
      <c r="G193" s="21" t="s">
        <v>945</v>
      </c>
      <c r="H193" s="21" t="s">
        <v>364</v>
      </c>
      <c r="I193" s="21">
        <f>+LEN(Farmer!$H193)</f>
        <v>283</v>
      </c>
    </row>
    <row r="194" spans="1:9" ht="13.15">
      <c r="A194" s="21" t="s">
        <v>946</v>
      </c>
      <c r="B194" s="21" t="s">
        <v>565</v>
      </c>
      <c r="C194" s="21" t="s">
        <v>560</v>
      </c>
      <c r="D194" s="21" t="s">
        <v>566</v>
      </c>
      <c r="E194" s="21" t="s">
        <v>361</v>
      </c>
      <c r="F194" s="21" t="s">
        <v>567</v>
      </c>
      <c r="G194" s="21" t="s">
        <v>947</v>
      </c>
      <c r="H194" s="21" t="s">
        <v>364</v>
      </c>
      <c r="I194" s="21">
        <f>+LEN(Farmer!$H194)</f>
        <v>283</v>
      </c>
    </row>
    <row r="195" spans="1:9" ht="13.15">
      <c r="A195" s="21" t="s">
        <v>775</v>
      </c>
      <c r="B195" s="21" t="s">
        <v>565</v>
      </c>
      <c r="C195" s="21" t="s">
        <v>560</v>
      </c>
      <c r="D195" s="21" t="s">
        <v>566</v>
      </c>
      <c r="E195" s="21" t="s">
        <v>361</v>
      </c>
      <c r="F195" s="21" t="s">
        <v>567</v>
      </c>
      <c r="G195" s="21" t="s">
        <v>947</v>
      </c>
      <c r="H195" s="21" t="s">
        <v>364</v>
      </c>
      <c r="I195" s="21">
        <f>+LEN(Farmer!$H195)</f>
        <v>283</v>
      </c>
    </row>
    <row r="196" spans="1:9" ht="13.15">
      <c r="A196" s="21" t="s">
        <v>913</v>
      </c>
      <c r="B196" s="21" t="s">
        <v>565</v>
      </c>
      <c r="C196" s="21" t="s">
        <v>560</v>
      </c>
      <c r="D196" s="21" t="s">
        <v>566</v>
      </c>
      <c r="E196" s="21" t="s">
        <v>361</v>
      </c>
      <c r="F196" s="21" t="s">
        <v>567</v>
      </c>
      <c r="G196" s="21" t="s">
        <v>948</v>
      </c>
      <c r="H196" s="21" t="s">
        <v>364</v>
      </c>
      <c r="I196" s="21">
        <f>+LEN(Farmer!$H196)</f>
        <v>283</v>
      </c>
    </row>
    <row r="197" spans="1:9" ht="13.15">
      <c r="A197" s="21" t="s">
        <v>949</v>
      </c>
      <c r="B197" s="21" t="s">
        <v>715</v>
      </c>
      <c r="C197" s="21" t="s">
        <v>624</v>
      </c>
      <c r="D197" s="21" t="s">
        <v>402</v>
      </c>
      <c r="E197" s="21" t="s">
        <v>361</v>
      </c>
      <c r="F197" s="21" t="s">
        <v>403</v>
      </c>
      <c r="G197" s="21" t="s">
        <v>950</v>
      </c>
      <c r="H197" s="21" t="s">
        <v>364</v>
      </c>
      <c r="I197" s="21">
        <f>+LEN(Farmer!$H197)</f>
        <v>283</v>
      </c>
    </row>
    <row r="198" spans="1:9" ht="13.15">
      <c r="A198" s="21" t="s">
        <v>951</v>
      </c>
      <c r="B198" s="39">
        <v>1950</v>
      </c>
      <c r="C198" s="21" t="s">
        <v>396</v>
      </c>
      <c r="D198" s="21" t="s">
        <v>766</v>
      </c>
      <c r="E198" s="21" t="s">
        <v>361</v>
      </c>
      <c r="F198" s="21" t="s">
        <v>581</v>
      </c>
      <c r="G198" s="21" t="s">
        <v>952</v>
      </c>
      <c r="H198" s="21" t="s">
        <v>364</v>
      </c>
      <c r="I198" s="21">
        <f>+LEN(Farmer!$H198)</f>
        <v>283</v>
      </c>
    </row>
    <row r="199" spans="1:9" ht="13.15">
      <c r="A199" s="21" t="s">
        <v>953</v>
      </c>
      <c r="B199" s="39" t="s">
        <v>954</v>
      </c>
      <c r="C199" s="21" t="s">
        <v>955</v>
      </c>
      <c r="D199" s="21" t="s">
        <v>766</v>
      </c>
      <c r="E199" s="21" t="s">
        <v>361</v>
      </c>
      <c r="F199" s="21" t="s">
        <v>581</v>
      </c>
      <c r="G199" s="21" t="s">
        <v>956</v>
      </c>
      <c r="H199" s="21" t="s">
        <v>364</v>
      </c>
      <c r="I199" s="21">
        <f>+LEN(Farmer!$H199)</f>
        <v>283</v>
      </c>
    </row>
    <row r="200" spans="1:9" ht="13.15">
      <c r="A200" s="21" t="s">
        <v>602</v>
      </c>
      <c r="B200" s="40" t="s">
        <v>957</v>
      </c>
      <c r="C200" s="21" t="s">
        <v>958</v>
      </c>
      <c r="D200" s="21" t="s">
        <v>959</v>
      </c>
      <c r="E200" s="21" t="s">
        <v>361</v>
      </c>
      <c r="F200" s="21" t="s">
        <v>960</v>
      </c>
      <c r="G200" s="21" t="s">
        <v>961</v>
      </c>
      <c r="H200" s="21" t="s">
        <v>364</v>
      </c>
      <c r="I200" s="21">
        <f>+LEN(Farmer!$H200)</f>
        <v>283</v>
      </c>
    </row>
    <row r="201" spans="1:9" ht="13.15">
      <c r="A201" s="21" t="s">
        <v>962</v>
      </c>
      <c r="B201" s="40" t="s">
        <v>957</v>
      </c>
      <c r="C201" s="21" t="s">
        <v>560</v>
      </c>
      <c r="D201" s="21" t="s">
        <v>566</v>
      </c>
      <c r="E201" s="21" t="s">
        <v>361</v>
      </c>
      <c r="F201" s="21" t="s">
        <v>963</v>
      </c>
      <c r="G201" s="21" t="s">
        <v>964</v>
      </c>
      <c r="H201" s="21" t="s">
        <v>364</v>
      </c>
      <c r="I201" s="21">
        <f>+LEN(Farmer!$H201)</f>
        <v>283</v>
      </c>
    </row>
    <row r="202" spans="1:9" ht="13.15">
      <c r="A202" s="21" t="s">
        <v>533</v>
      </c>
      <c r="B202" s="21" t="s">
        <v>965</v>
      </c>
      <c r="C202" s="21" t="s">
        <v>877</v>
      </c>
      <c r="D202" s="21" t="s">
        <v>584</v>
      </c>
      <c r="E202" s="21" t="s">
        <v>361</v>
      </c>
      <c r="F202" s="21" t="s">
        <v>966</v>
      </c>
      <c r="G202" s="21" t="s">
        <v>967</v>
      </c>
      <c r="H202" s="21" t="s">
        <v>364</v>
      </c>
      <c r="I202" s="21">
        <f>+LEN(Farmer!$H202)</f>
        <v>283</v>
      </c>
    </row>
    <row r="203" spans="1:9" ht="13.15">
      <c r="A203" s="21" t="s">
        <v>968</v>
      </c>
      <c r="B203" s="21" t="s">
        <v>969</v>
      </c>
      <c r="C203" s="21" t="s">
        <v>549</v>
      </c>
      <c r="D203" s="21" t="s">
        <v>411</v>
      </c>
      <c r="E203" s="21" t="s">
        <v>361</v>
      </c>
      <c r="F203" s="21" t="s">
        <v>392</v>
      </c>
      <c r="G203" s="21" t="s">
        <v>970</v>
      </c>
      <c r="H203" s="21" t="s">
        <v>364</v>
      </c>
      <c r="I203" s="21">
        <f>+LEN(Farmer!$H203)</f>
        <v>283</v>
      </c>
    </row>
    <row r="204" spans="1:9" ht="13.15">
      <c r="A204" s="21" t="s">
        <v>971</v>
      </c>
      <c r="B204" s="21" t="s">
        <v>440</v>
      </c>
      <c r="C204" s="21" t="s">
        <v>441</v>
      </c>
      <c r="D204" s="21" t="s">
        <v>442</v>
      </c>
      <c r="E204" s="21" t="s">
        <v>361</v>
      </c>
      <c r="F204" s="21" t="s">
        <v>443</v>
      </c>
      <c r="G204" s="21" t="s">
        <v>972</v>
      </c>
      <c r="H204" s="21" t="s">
        <v>364</v>
      </c>
      <c r="I204" s="21">
        <f>+LEN(Farmer!$H204)</f>
        <v>283</v>
      </c>
    </row>
    <row r="205" spans="1:9" ht="13.15">
      <c r="A205" s="21" t="s">
        <v>973</v>
      </c>
      <c r="B205" s="21" t="s">
        <v>440</v>
      </c>
      <c r="C205" s="21" t="s">
        <v>441</v>
      </c>
      <c r="D205" s="21" t="s">
        <v>442</v>
      </c>
      <c r="E205" s="21" t="s">
        <v>361</v>
      </c>
      <c r="F205" s="21" t="s">
        <v>443</v>
      </c>
      <c r="G205" s="21" t="s">
        <v>974</v>
      </c>
      <c r="H205" s="21" t="s">
        <v>364</v>
      </c>
      <c r="I205" s="21">
        <f>+LEN(Farmer!$H205)</f>
        <v>283</v>
      </c>
    </row>
    <row r="206" spans="1:9" ht="13.15">
      <c r="A206" s="21" t="s">
        <v>913</v>
      </c>
      <c r="B206" s="21" t="s">
        <v>975</v>
      </c>
      <c r="C206" s="21" t="s">
        <v>441</v>
      </c>
      <c r="D206" s="21" t="s">
        <v>976</v>
      </c>
      <c r="E206" s="21" t="s">
        <v>361</v>
      </c>
      <c r="F206" s="21" t="s">
        <v>443</v>
      </c>
      <c r="G206" s="21" t="s">
        <v>977</v>
      </c>
      <c r="H206" s="21" t="s">
        <v>364</v>
      </c>
      <c r="I206" s="21">
        <f>+LEN(Farmer!$H206)</f>
        <v>283</v>
      </c>
    </row>
    <row r="207" spans="1:9" ht="13.15">
      <c r="A207" s="21" t="s">
        <v>775</v>
      </c>
      <c r="B207" s="39">
        <v>1600</v>
      </c>
      <c r="C207" s="21" t="s">
        <v>396</v>
      </c>
      <c r="D207" s="21" t="s">
        <v>766</v>
      </c>
      <c r="E207" s="21" t="s">
        <v>361</v>
      </c>
      <c r="F207" s="21" t="s">
        <v>518</v>
      </c>
      <c r="G207" s="21" t="s">
        <v>978</v>
      </c>
      <c r="H207" s="21" t="s">
        <v>364</v>
      </c>
      <c r="I207" s="21">
        <f>+LEN(Farmer!$H207)</f>
        <v>283</v>
      </c>
    </row>
    <row r="208" spans="1:9" ht="13.15">
      <c r="A208" s="36" t="s">
        <v>979</v>
      </c>
      <c r="B208" s="41">
        <v>1800</v>
      </c>
      <c r="C208" s="36" t="s">
        <v>396</v>
      </c>
      <c r="D208" s="36" t="s">
        <v>766</v>
      </c>
      <c r="E208" s="36" t="s">
        <v>361</v>
      </c>
      <c r="F208" s="36" t="s">
        <v>518</v>
      </c>
      <c r="G208" s="36" t="s">
        <v>980</v>
      </c>
      <c r="H208" s="36" t="s">
        <v>364</v>
      </c>
      <c r="I208" s="36">
        <f>+LEN(Farmer!$H208)</f>
        <v>283</v>
      </c>
    </row>
    <row r="209" spans="1:9" ht="13.15">
      <c r="A209" s="36" t="s">
        <v>981</v>
      </c>
      <c r="B209" s="41">
        <v>1850</v>
      </c>
      <c r="C209" s="36" t="s">
        <v>396</v>
      </c>
      <c r="D209" s="36" t="s">
        <v>766</v>
      </c>
      <c r="E209" s="36" t="s">
        <v>361</v>
      </c>
      <c r="F209" s="36" t="s">
        <v>518</v>
      </c>
      <c r="G209" s="36" t="s">
        <v>982</v>
      </c>
      <c r="H209" s="36" t="s">
        <v>364</v>
      </c>
      <c r="I209" s="36">
        <f>+LEN(Farmer!$H209)</f>
        <v>283</v>
      </c>
    </row>
    <row r="210" spans="1:9" ht="13.15">
      <c r="A210" s="36" t="s">
        <v>983</v>
      </c>
      <c r="B210" s="41" t="s">
        <v>715</v>
      </c>
      <c r="C210" s="41" t="s">
        <v>624</v>
      </c>
      <c r="D210" s="21" t="s">
        <v>402</v>
      </c>
      <c r="E210" s="21" t="s">
        <v>361</v>
      </c>
      <c r="F210" s="21" t="s">
        <v>403</v>
      </c>
      <c r="G210" s="36" t="s">
        <v>984</v>
      </c>
      <c r="H210" s="36" t="s">
        <v>364</v>
      </c>
      <c r="I210" s="36">
        <f>+LEN(Farmer!$H210)</f>
        <v>283</v>
      </c>
    </row>
    <row r="211" spans="1:9" ht="13.15">
      <c r="A211" s="41" t="s">
        <v>985</v>
      </c>
      <c r="B211" s="41" t="s">
        <v>430</v>
      </c>
      <c r="C211" s="41" t="s">
        <v>431</v>
      </c>
      <c r="D211" s="41" t="s">
        <v>368</v>
      </c>
      <c r="E211" s="21" t="s">
        <v>361</v>
      </c>
      <c r="F211" s="21" t="s">
        <v>398</v>
      </c>
      <c r="G211" s="36" t="s">
        <v>986</v>
      </c>
      <c r="H211" s="36" t="s">
        <v>364</v>
      </c>
      <c r="I211" s="36">
        <f>+LEN(Farmer!$H211)</f>
        <v>283</v>
      </c>
    </row>
    <row r="212" spans="1:9" ht="13.15">
      <c r="A212" s="41" t="s">
        <v>987</v>
      </c>
      <c r="B212" s="41" t="s">
        <v>988</v>
      </c>
      <c r="C212" s="41" t="s">
        <v>989</v>
      </c>
      <c r="D212" s="41" t="s">
        <v>402</v>
      </c>
      <c r="E212" s="21" t="s">
        <v>361</v>
      </c>
      <c r="F212" s="21" t="s">
        <v>990</v>
      </c>
      <c r="G212" s="36" t="s">
        <v>991</v>
      </c>
      <c r="H212" s="36" t="s">
        <v>364</v>
      </c>
      <c r="I212" s="36">
        <f>+LEN(Farmer!$H212)</f>
        <v>283</v>
      </c>
    </row>
    <row r="213" spans="1:9" ht="13.15">
      <c r="A213" s="41" t="s">
        <v>383</v>
      </c>
      <c r="B213" s="41" t="s">
        <v>366</v>
      </c>
      <c r="C213" s="41" t="s">
        <v>415</v>
      </c>
      <c r="D213" s="41" t="s">
        <v>416</v>
      </c>
      <c r="E213" s="21" t="s">
        <v>361</v>
      </c>
      <c r="F213" s="21" t="s">
        <v>386</v>
      </c>
      <c r="G213" s="36" t="s">
        <v>992</v>
      </c>
      <c r="H213" s="36" t="s">
        <v>364</v>
      </c>
      <c r="I213" s="36">
        <f>+LEN(Farmer!$H213)</f>
        <v>283</v>
      </c>
    </row>
    <row r="214" spans="1:9" ht="13.15">
      <c r="A214" s="41" t="s">
        <v>993</v>
      </c>
      <c r="B214" s="41" t="s">
        <v>994</v>
      </c>
      <c r="C214" s="41" t="s">
        <v>877</v>
      </c>
      <c r="D214" s="41" t="s">
        <v>584</v>
      </c>
      <c r="E214" s="21" t="s">
        <v>361</v>
      </c>
      <c r="F214" s="21" t="s">
        <v>995</v>
      </c>
      <c r="G214" s="36" t="s">
        <v>996</v>
      </c>
      <c r="H214" s="36" t="s">
        <v>364</v>
      </c>
      <c r="I214" s="36">
        <f>+LEN(Farmer!$H214)</f>
        <v>283</v>
      </c>
    </row>
    <row r="215" spans="1:9" ht="13.15">
      <c r="A215" s="41" t="s">
        <v>997</v>
      </c>
      <c r="B215" s="41" t="s">
        <v>998</v>
      </c>
      <c r="C215" s="41" t="s">
        <v>485</v>
      </c>
      <c r="D215" s="41" t="s">
        <v>486</v>
      </c>
      <c r="E215" s="42" t="s">
        <v>487</v>
      </c>
      <c r="F215" s="42" t="s">
        <v>488</v>
      </c>
      <c r="G215" s="42" t="s">
        <v>999</v>
      </c>
      <c r="H215" s="36" t="s">
        <v>364</v>
      </c>
      <c r="I215" s="36">
        <f>+LEN(Farmer!$H215)</f>
        <v>283</v>
      </c>
    </row>
    <row r="216" spans="1:9" ht="15" customHeight="1">
      <c r="A216" s="36" t="s">
        <v>949</v>
      </c>
      <c r="B216" s="36" t="s">
        <v>366</v>
      </c>
      <c r="C216" s="36" t="s">
        <v>415</v>
      </c>
      <c r="D216" s="36" t="s">
        <v>416</v>
      </c>
      <c r="E216" s="36" t="s">
        <v>361</v>
      </c>
      <c r="F216" s="36" t="s">
        <v>386</v>
      </c>
      <c r="G216" s="36" t="s">
        <v>1000</v>
      </c>
      <c r="H216" s="36" t="s">
        <v>364</v>
      </c>
      <c r="I216" s="36">
        <f>+LEN(Farmer!$H216)</f>
        <v>283</v>
      </c>
    </row>
    <row r="217" spans="1:9" ht="15" customHeight="1">
      <c r="A217" s="36" t="s">
        <v>1001</v>
      </c>
      <c r="B217" s="36" t="s">
        <v>901</v>
      </c>
      <c r="C217" s="36" t="s">
        <v>415</v>
      </c>
      <c r="D217" s="36" t="s">
        <v>416</v>
      </c>
      <c r="E217" s="36" t="s">
        <v>361</v>
      </c>
      <c r="F217" s="42" t="s">
        <v>1002</v>
      </c>
      <c r="G217" s="36" t="s">
        <v>1003</v>
      </c>
      <c r="H217" s="36" t="s">
        <v>364</v>
      </c>
      <c r="I217" s="36">
        <f>+LEN(Farmer!$H217)</f>
        <v>283</v>
      </c>
    </row>
    <row r="218" spans="1:9" ht="13.15">
      <c r="A218" s="36" t="s">
        <v>1004</v>
      </c>
      <c r="B218" s="36" t="s">
        <v>480</v>
      </c>
      <c r="C218" s="41" t="s">
        <v>624</v>
      </c>
      <c r="D218" s="36" t="s">
        <v>766</v>
      </c>
      <c r="E218" s="36" t="s">
        <v>361</v>
      </c>
      <c r="F218" s="36" t="s">
        <v>1005</v>
      </c>
      <c r="G218" s="36" t="s">
        <v>1006</v>
      </c>
      <c r="H218" s="36" t="s">
        <v>364</v>
      </c>
      <c r="I218" s="36">
        <f>+LEN(Farmer!$H218)</f>
        <v>283</v>
      </c>
    </row>
    <row r="219" spans="1:9" ht="13.15">
      <c r="A219" s="21" t="s">
        <v>1007</v>
      </c>
      <c r="B219" s="21" t="s">
        <v>759</v>
      </c>
      <c r="C219" s="21" t="s">
        <v>485</v>
      </c>
      <c r="D219" s="21" t="s">
        <v>486</v>
      </c>
      <c r="E219" s="21" t="s">
        <v>487</v>
      </c>
      <c r="F219" s="21" t="s">
        <v>488</v>
      </c>
      <c r="G219" s="36" t="s">
        <v>1008</v>
      </c>
      <c r="H219" s="36" t="s">
        <v>364</v>
      </c>
      <c r="I219" s="36">
        <f>+LEN(Farmer!$H219)</f>
        <v>283</v>
      </c>
    </row>
    <row r="220" spans="1:9" ht="12.75">
      <c r="A220" t="s">
        <v>1009</v>
      </c>
      <c r="B220" t="s">
        <v>1010</v>
      </c>
      <c r="C220" s="41" t="s">
        <v>989</v>
      </c>
      <c r="D220" s="41" t="s">
        <v>402</v>
      </c>
      <c r="E220" s="21" t="s">
        <v>361</v>
      </c>
      <c r="F220" s="21" t="s">
        <v>990</v>
      </c>
      <c r="G220" s="36" t="s">
        <v>1011</v>
      </c>
      <c r="H220" s="36" t="s">
        <v>364</v>
      </c>
      <c r="I220" s="36">
        <f>+LEN(Farmer!$H220)</f>
        <v>283</v>
      </c>
    </row>
    <row r="221" spans="1:9" ht="15" customHeight="1">
      <c r="A221" t="s">
        <v>1012</v>
      </c>
      <c r="B221" t="s">
        <v>787</v>
      </c>
      <c r="C221" s="41" t="s">
        <v>989</v>
      </c>
      <c r="D221" s="41" t="s">
        <v>402</v>
      </c>
      <c r="E221" s="21" t="s">
        <v>361</v>
      </c>
      <c r="F221" t="s">
        <v>963</v>
      </c>
      <c r="G221" s="36" t="s">
        <v>1013</v>
      </c>
      <c r="H221" s="36" t="s">
        <v>364</v>
      </c>
      <c r="I221" s="36">
        <f>+LEN(Farmer!$H221)</f>
        <v>283</v>
      </c>
    </row>
    <row r="222" spans="1:9" ht="15" customHeight="1">
      <c r="A222" t="s">
        <v>602</v>
      </c>
      <c r="B222" t="s">
        <v>430</v>
      </c>
      <c r="C222" s="41" t="s">
        <v>1014</v>
      </c>
      <c r="D222" s="41" t="s">
        <v>584</v>
      </c>
      <c r="E222" s="21" t="s">
        <v>361</v>
      </c>
      <c r="F222" t="s">
        <v>1015</v>
      </c>
      <c r="G222" s="36" t="s">
        <v>1016</v>
      </c>
      <c r="H222" s="36" t="s">
        <v>364</v>
      </c>
      <c r="I222" s="36">
        <f>+LEN(Farmer!$H222)</f>
        <v>283</v>
      </c>
    </row>
    <row r="223" spans="1:9" ht="15" customHeight="1">
      <c r="A223" t="s">
        <v>1017</v>
      </c>
      <c r="B223" s="21" t="s">
        <v>440</v>
      </c>
      <c r="C223" t="s">
        <v>1018</v>
      </c>
      <c r="D223" s="36" t="s">
        <v>416</v>
      </c>
      <c r="E223" s="21" t="s">
        <v>361</v>
      </c>
      <c r="F223" t="s">
        <v>1019</v>
      </c>
      <c r="G223" t="s">
        <v>1020</v>
      </c>
      <c r="H223" s="36" t="s">
        <v>364</v>
      </c>
      <c r="I223" s="36">
        <f>+LEN(Farmer!$H223)</f>
        <v>283</v>
      </c>
    </row>
  </sheetData>
  <pageMargins left="0.7" right="0.7" top="0.75" bottom="0.75" header="0" footer="0"/>
  <pageSetup orientation="landscape"/>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Alejandra Muñoz</cp:lastModifiedBy>
  <cp:revision/>
  <dcterms:created xsi:type="dcterms:W3CDTF">2025-09-04T20:58:10Z</dcterms:created>
  <dcterms:modified xsi:type="dcterms:W3CDTF">2026-02-26T15:05:46Z</dcterms:modified>
  <cp:category/>
  <cp:contentStatus/>
</cp:coreProperties>
</file>